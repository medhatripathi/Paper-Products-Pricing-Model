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Costs" sheetId="1" r:id="rId4"/>
    <sheet state="visible" name="Input Reels" sheetId="2" r:id="rId5"/>
    <sheet state="visible" name="Input Products" sheetId="3" r:id="rId6"/>
    <sheet state="visible" name="LookUp Value" sheetId="4" r:id="rId7"/>
    <sheet state="visible" name="Calc Products" sheetId="5" r:id="rId8"/>
    <sheet state="visible" name="Calc Export" sheetId="6" r:id="rId9"/>
    <sheet state="visible" name="Quote Summary" sheetId="7" r:id="rId10"/>
  </sheets>
  <definedNames/>
  <calcPr/>
  <extLst>
    <ext uri="GoogleSheetsCustomDataVersion2">
      <go:sheetsCustomData xmlns:go="http://customooxmlschemas.google.com/" r:id="rId11" roundtripDataChecksum="LLgW+KH7uu7VI4b/kOCzK35jzexqCyyldUAoPPzHPAI="/>
    </ext>
  </extLst>
</workbook>
</file>

<file path=xl/sharedStrings.xml><?xml version="1.0" encoding="utf-8"?>
<sst xmlns="http://schemas.openxmlformats.org/spreadsheetml/2006/main" count="4815" uniqueCount="1476">
  <si>
    <t>COST INPUTS DATABASE</t>
  </si>
  <si>
    <t>Last Updated:</t>
  </si>
  <si>
    <t>Currency Base:</t>
  </si>
  <si>
    <t>INR</t>
  </si>
  <si>
    <t>EXCHANGE RATES</t>
  </si>
  <si>
    <t>USD/INR</t>
  </si>
  <si>
    <t xml:space="preserve">EUR/INR </t>
  </si>
  <si>
    <t xml:space="preserve">CAD/INR </t>
  </si>
  <si>
    <t xml:space="preserve">GBP/INR </t>
  </si>
  <si>
    <t xml:space="preserve">CONVERTING COSTS (per MT) </t>
  </si>
  <si>
    <t xml:space="preserve">INR       </t>
  </si>
  <si>
    <t xml:space="preserve">USD      </t>
  </si>
  <si>
    <t>EUR</t>
  </si>
  <si>
    <t>CAD</t>
  </si>
  <si>
    <t>GBP</t>
  </si>
  <si>
    <t>Direct Labor</t>
  </si>
  <si>
    <t xml:space="preserve">Power/Electricity </t>
  </si>
  <si>
    <t xml:space="preserve">Cores                          </t>
  </si>
  <si>
    <t xml:space="preserve">Glue/Adhesive  </t>
  </si>
  <si>
    <t>Machine Maintenance</t>
  </si>
  <si>
    <t>Consumables (blades, etc.)</t>
  </si>
  <si>
    <t xml:space="preserve">TOTAL CONVERTING/MT </t>
  </si>
  <si>
    <t xml:space="preserve">PACKAGING MATERIALS            </t>
  </si>
  <si>
    <t xml:space="preserve"> INR       </t>
  </si>
  <si>
    <t xml:space="preserve"> Unit     </t>
  </si>
  <si>
    <t xml:space="preserve">                </t>
  </si>
  <si>
    <t>Printed Poly Film</t>
  </si>
  <si>
    <t xml:space="preserve"> per kg   </t>
  </si>
  <si>
    <t>Plain Poly Film</t>
  </si>
  <si>
    <t>Paper Wrap</t>
  </si>
  <si>
    <t>Average Carton Cost</t>
  </si>
  <si>
    <t xml:space="preserve"> each     </t>
  </si>
  <si>
    <t>Tape per Carton</t>
  </si>
  <si>
    <t>Labels per Carton</t>
  </si>
  <si>
    <t>Pallet Cost (wooden)</t>
  </si>
  <si>
    <t>Stretch Wrap per Pallet</t>
  </si>
  <si>
    <t>Strapping per Pallet</t>
  </si>
  <si>
    <t xml:space="preserve"> each   </t>
  </si>
  <si>
    <t xml:space="preserve"> FILM USAGE (grams per unit)    </t>
  </si>
  <si>
    <t xml:space="preserve"> Grams     </t>
  </si>
  <si>
    <t xml:space="preserve">          </t>
  </si>
  <si>
    <t xml:space="preserve"> Toilet Roll (single wrap)      </t>
  </si>
  <si>
    <t xml:space="preserve"> Toilet Roll (multipack)        </t>
  </si>
  <si>
    <t xml:space="preserve"> Kitchen Towel (AFH)            </t>
  </si>
  <si>
    <t xml:space="preserve"> Napkin Pack                    </t>
  </si>
  <si>
    <t xml:space="preserve">OVERHEAD COSTS (Monthly)       </t>
  </si>
  <si>
    <t xml:space="preserve"> Factory Rent/Lease             </t>
  </si>
  <si>
    <t xml:space="preserve"> Admin Salaries                 </t>
  </si>
  <si>
    <t xml:space="preserve"> Utilities (non-production)     </t>
  </si>
  <si>
    <t xml:space="preserve"> Quality Control                </t>
  </si>
  <si>
    <t xml:space="preserve"> Insurance                      </t>
  </si>
  <si>
    <t xml:space="preserve"> Depreciation                   </t>
  </si>
  <si>
    <t xml:space="preserve"> Other Overhead                 </t>
  </si>
  <si>
    <t xml:space="preserve"> TOTAL MONTHLY OVERHEAD         </t>
  </si>
  <si>
    <t xml:space="preserve">      </t>
  </si>
  <si>
    <t xml:space="preserve"> Monthly Output (MT)            </t>
  </si>
  <si>
    <t xml:space="preserve">OVERHEAD PER MT </t>
  </si>
  <si>
    <t xml:space="preserve">WASTE FACTORS                  </t>
  </si>
  <si>
    <t xml:space="preserve"> %         </t>
  </si>
  <si>
    <t xml:space="preserve"> Trim Waste                     </t>
  </si>
  <si>
    <t xml:space="preserve"> Startup Waste                  </t>
  </si>
  <si>
    <t xml:space="preserve"> Reject Rate                    </t>
  </si>
  <si>
    <t xml:space="preserve"> TOTAL LOSS FACTOR              </t>
  </si>
  <si>
    <t xml:space="preserve">        </t>
  </si>
  <si>
    <t xml:space="preserve"> GROSS-UP MULTIPLIER            </t>
  </si>
  <si>
    <t xml:space="preserve"> Waste Recovery Value           </t>
  </si>
  <si>
    <t xml:space="preserve"> INR/kg   </t>
  </si>
  <si>
    <t xml:space="preserve">                                </t>
  </si>
  <si>
    <t xml:space="preserve">           </t>
  </si>
  <si>
    <t xml:space="preserve"> LOCAL LOGISTICS (per shipment) </t>
  </si>
  <si>
    <t xml:space="preserve"> USD      </t>
  </si>
  <si>
    <t xml:space="preserve"> Factory to Port (per container)</t>
  </si>
  <si>
    <t xml:space="preserve"> Port Handling (per container)  </t>
  </si>
  <si>
    <t xml:space="preserve"> Documentation (per shipment)   </t>
  </si>
  <si>
    <t xml:space="preserve"> Export Customs (per shipment)  </t>
  </si>
  <si>
    <t xml:space="preserve"> Phytosanitary Certificate      </t>
  </si>
  <si>
    <t xml:space="preserve"> OCEAN FREIGHT (USD per 40HC)   </t>
  </si>
  <si>
    <t xml:space="preserve"> USD       </t>
  </si>
  <si>
    <t xml:space="preserve"> USA - East Coast               </t>
  </si>
  <si>
    <t xml:space="preserve"> USA - West Coast               </t>
  </si>
  <si>
    <t xml:space="preserve"> Canada - Vancouver             </t>
  </si>
  <si>
    <t xml:space="preserve"> Canada - Toronto               </t>
  </si>
  <si>
    <t xml:space="preserve"> Europe - Rotterdam             </t>
  </si>
  <si>
    <t xml:space="preserve"> Europe - Hamburg               </t>
  </si>
  <si>
    <t xml:space="preserve"> UK - Felixstowe                </t>
  </si>
  <si>
    <t xml:space="preserve"> Middle East - Dubai            </t>
  </si>
  <si>
    <t xml:space="preserve"> Australia - Melbourne          </t>
  </si>
  <si>
    <t xml:space="preserve"> INSURANCE &amp; OTHER              </t>
  </si>
  <si>
    <t xml:space="preserve"> Marine Insurance Rate          </t>
  </si>
  <si>
    <t xml:space="preserve"> of FOB   </t>
  </si>
  <si>
    <t xml:space="preserve"> Margin - Minimum               </t>
  </si>
  <si>
    <t xml:space="preserve"> Margin - Standard              </t>
  </si>
  <si>
    <t xml:space="preserve"> Margin - Target                </t>
  </si>
  <si>
    <t xml:space="preserve"> Margin - Premium               </t>
  </si>
  <si>
    <t xml:space="preserve">    </t>
  </si>
  <si>
    <t>Product_Description</t>
  </si>
  <si>
    <t>Reel_Code</t>
  </si>
  <si>
    <t>Supplier</t>
  </si>
  <si>
    <t>Ply</t>
  </si>
  <si>
    <t>GSM_Per_Ply</t>
  </si>
  <si>
    <t>Total_GSM</t>
  </si>
  <si>
    <t>Virgin_Pct</t>
  </si>
  <si>
    <t>Wet_Strength</t>
  </si>
  <si>
    <t>Color</t>
  </si>
  <si>
    <t>Softness</t>
  </si>
  <si>
    <t>Width_mm</t>
  </si>
  <si>
    <t>Dia_mm</t>
  </si>
  <si>
    <t>Price_INR_MT</t>
  </si>
  <si>
    <t>Price_USD_MT</t>
  </si>
  <si>
    <t>Lead_Days</t>
  </si>
  <si>
    <t>MOQ_MT</t>
  </si>
  <si>
    <t>Last_Updated</t>
  </si>
  <si>
    <t>Notes</t>
  </si>
  <si>
    <t xml:space="preserve">VIRGIN WHITE
SOFTNESS     
STANDARD    </t>
  </si>
  <si>
    <t>R-1P-13-V</t>
  </si>
  <si>
    <t xml:space="preserve"> Supplier A </t>
  </si>
  <si>
    <t xml:space="preserve"> No        </t>
  </si>
  <si>
    <t xml:space="preserve"> White    </t>
  </si>
  <si>
    <t xml:space="preserve"> Standard </t>
  </si>
  <si>
    <t xml:space="preserve"> Ultra light tissue    </t>
  </si>
  <si>
    <t>R-1P-14-V</t>
  </si>
  <si>
    <t xml:space="preserve"> Light facial tissue   </t>
  </si>
  <si>
    <t>R-1P-15-V</t>
  </si>
  <si>
    <t xml:space="preserve"> Standard facial       </t>
  </si>
  <si>
    <t>R-1P-16-V</t>
  </si>
  <si>
    <t xml:space="preserve"> Light toilet tissue   </t>
  </si>
  <si>
    <t>R-1P-17-V</t>
  </si>
  <si>
    <t xml:space="preserve"> Standard toilet       </t>
  </si>
  <si>
    <t>R-1P-18-V</t>
  </si>
  <si>
    <t xml:space="preserve"> Standard napkin       </t>
  </si>
  <si>
    <t>R-1P-19-V</t>
  </si>
  <si>
    <t xml:space="preserve"> Medium weight         </t>
  </si>
  <si>
    <t>R-1P-20-V</t>
  </si>
  <si>
    <t xml:space="preserve"> Kitchen towel base    </t>
  </si>
  <si>
    <t>R-1P-21-V</t>
  </si>
  <si>
    <t xml:space="preserve"> Medium KT             </t>
  </si>
  <si>
    <t>R-1P-22-V</t>
  </si>
  <si>
    <t xml:space="preserve"> Standard KT           </t>
  </si>
  <si>
    <t>R-1P-23-V</t>
  </si>
  <si>
    <t xml:space="preserve"> Heavy KT              </t>
  </si>
  <si>
    <t>R-1P-24-V</t>
  </si>
  <si>
    <t xml:space="preserve"> Industrial base       </t>
  </si>
  <si>
    <t>R-1P-25-V</t>
  </si>
  <si>
    <t xml:space="preserve"> Heavy duty            </t>
  </si>
  <si>
    <t>R-1P-28-V</t>
  </si>
  <si>
    <t xml:space="preserve"> Extra heavy           </t>
  </si>
  <si>
    <t>R-1P-30-V</t>
  </si>
  <si>
    <t xml:space="preserve"> Wiper base            </t>
  </si>
  <si>
    <t xml:space="preserve">VIRGIN WHITE  
SOFTNESS     
PREMIUM     </t>
  </si>
  <si>
    <t>R-1P-13-VP</t>
  </si>
  <si>
    <t xml:space="preserve"> Premium  </t>
  </si>
  <si>
    <t xml:space="preserve"> Premium facial        </t>
  </si>
  <si>
    <t>R-1P-14-VP</t>
  </si>
  <si>
    <t>R-1P-15-VP</t>
  </si>
  <si>
    <t xml:space="preserve"> Premium toilet        </t>
  </si>
  <si>
    <t>R-1P-16-VP</t>
  </si>
  <si>
    <t>R-1P-17-VP</t>
  </si>
  <si>
    <t xml:space="preserve"> Luxury toilet         </t>
  </si>
  <si>
    <t>R-1P-18-VP</t>
  </si>
  <si>
    <t xml:space="preserve"> Premium napkin        </t>
  </si>
  <si>
    <t>R-1P-20-VP</t>
  </si>
  <si>
    <t xml:space="preserve"> Premium KT            </t>
  </si>
  <si>
    <t>R-1P-22-VP</t>
  </si>
  <si>
    <t xml:space="preserve">VIRGIN WHITE  
SOFTNESS    
ECONOMY     </t>
  </si>
  <si>
    <t>R-1P-15-VE</t>
  </si>
  <si>
    <t xml:space="preserve"> Economy  </t>
  </si>
  <si>
    <t xml:space="preserve"> Budget toilet         </t>
  </si>
  <si>
    <t>R-1P-17-VE</t>
  </si>
  <si>
    <t>R-1P-18-VE</t>
  </si>
  <si>
    <t xml:space="preserve"> Budget napkin         </t>
  </si>
  <si>
    <t>R-1P-20-VE</t>
  </si>
  <si>
    <t xml:space="preserve"> Budget KT             </t>
  </si>
  <si>
    <t>R-1P-22-VE</t>
  </si>
  <si>
    <t xml:space="preserve">MIXED FIBER   
WHITE        (VIRGIN +   RECYCLED)   </t>
  </si>
  <si>
    <t>R-1P-15-M80</t>
  </si>
  <si>
    <t xml:space="preserve"> 80% virgin blend      </t>
  </si>
  <si>
    <t>R-1P-17-M80</t>
  </si>
  <si>
    <t>R-1P-18-M80</t>
  </si>
  <si>
    <t>R-1P-20-M80</t>
  </si>
  <si>
    <t>R-1P-22-M80</t>
  </si>
  <si>
    <t>R-1P-15-M70</t>
  </si>
  <si>
    <t xml:space="preserve"> 70% virgin blend      </t>
  </si>
  <si>
    <t>R-1P-17-M70</t>
  </si>
  <si>
    <t>R-1P-18-M70</t>
  </si>
  <si>
    <t>R-1P-20-M70</t>
  </si>
  <si>
    <t>R-1P-22-M70</t>
  </si>
  <si>
    <t>R-1P-15-M50</t>
  </si>
  <si>
    <t xml:space="preserve"> 50% virgin blend      </t>
  </si>
  <si>
    <t>R-1P-17-M50</t>
  </si>
  <si>
    <t>R-1P-18-M50</t>
  </si>
  <si>
    <t>R-1P-20-M50</t>
  </si>
  <si>
    <t>R-1P-22-M50</t>
  </si>
  <si>
    <t>R-1P-17-M30</t>
  </si>
  <si>
    <t xml:space="preserve"> 30% virgin blend      </t>
  </si>
  <si>
    <t>R-1P-18-M30</t>
  </si>
  <si>
    <t>R-1P-20-M30</t>
  </si>
  <si>
    <t>R-1P-22-M30</t>
  </si>
  <si>
    <t xml:space="preserve">100% 
RECYCLED     </t>
  </si>
  <si>
    <t>R-1P-17-R</t>
  </si>
  <si>
    <t xml:space="preserve"> 100% recycled         </t>
  </si>
  <si>
    <t>R-1P-18-R</t>
  </si>
  <si>
    <t>R-1P-20-R</t>
  </si>
  <si>
    <t>R-1P-22-R</t>
  </si>
  <si>
    <t>R-1P-25-R</t>
  </si>
  <si>
    <t xml:space="preserve">WET STRENGTH
VIRGIN       </t>
  </si>
  <si>
    <t>R-1P-18-VW</t>
  </si>
  <si>
    <t xml:space="preserve"> Yes       </t>
  </si>
  <si>
    <t xml:space="preserve"> Wet strength napkin   </t>
  </si>
  <si>
    <t>R-1P-20-VW</t>
  </si>
  <si>
    <t xml:space="preserve"> Wet strength KT       </t>
  </si>
  <si>
    <t>R-1P-22-VW</t>
  </si>
  <si>
    <t>R-1P-24-VW</t>
  </si>
  <si>
    <t xml:space="preserve"> Wet strength heavy    </t>
  </si>
  <si>
    <t>R-1P-25-VW</t>
  </si>
  <si>
    <t>R-1P-28-VW</t>
  </si>
  <si>
    <t xml:space="preserve"> Industrial wiper      </t>
  </si>
  <si>
    <t>R-1P-30-VW</t>
  </si>
  <si>
    <t>R-1P-35-VW</t>
  </si>
  <si>
    <t xml:space="preserve"> Heavy duty wiper      </t>
  </si>
  <si>
    <t>R-1P-40-VW</t>
  </si>
  <si>
    <t xml:space="preserve">NATURAL /
UNBLEACHED   </t>
  </si>
  <si>
    <t>R-1P-15-VN</t>
  </si>
  <si>
    <t xml:space="preserve"> Natural  </t>
  </si>
  <si>
    <t xml:space="preserve"> Unbleached tissue     </t>
  </si>
  <si>
    <t>R-1P-17-VN</t>
  </si>
  <si>
    <t xml:space="preserve"> Unbleached toilet     </t>
  </si>
  <si>
    <t>R-1P-18-VN</t>
  </si>
  <si>
    <t xml:space="preserve"> Unbleached napkin     </t>
  </si>
  <si>
    <t>R-1P-20-VN</t>
  </si>
  <si>
    <t xml:space="preserve"> Unbleached KT         </t>
  </si>
  <si>
    <t>R-1P-22-VNW</t>
  </si>
  <si>
    <t>R-1P-17-VNP</t>
  </si>
  <si>
    <t xml:space="preserve"> Premium unbleached    </t>
  </si>
  <si>
    <t>R-1P-18-VNP</t>
  </si>
  <si>
    <t xml:space="preserve">COLORED      </t>
  </si>
  <si>
    <t>R-1P-17-VC</t>
  </si>
  <si>
    <t xml:space="preserve"> Colored  </t>
  </si>
  <si>
    <t xml:space="preserve"> Dyed tissue           </t>
  </si>
  <si>
    <t>R-1P-18-VC</t>
  </si>
  <si>
    <t xml:space="preserve"> Dyed napkin           </t>
  </si>
  <si>
    <t>R-1P-20-VC</t>
  </si>
  <si>
    <t>R-1P-22-VC</t>
  </si>
  <si>
    <t>R-1P-18-VCP</t>
  </si>
  <si>
    <t xml:space="preserve"> Premium dyed          </t>
  </si>
  <si>
    <t xml:space="preserve">SUPPLIER B    
(ALTERNATE)  </t>
  </si>
  <si>
    <t>R-1P-15-V-B</t>
  </si>
  <si>
    <t xml:space="preserve"> Supplier B </t>
  </si>
  <si>
    <t xml:space="preserve"> Supplier B virgin     </t>
  </si>
  <si>
    <t>R-1P-17-V-B</t>
  </si>
  <si>
    <t>R-1P-18-V-B</t>
  </si>
  <si>
    <t>R-1P-20-V-B</t>
  </si>
  <si>
    <t>R-1P-22-V-B</t>
  </si>
  <si>
    <t>R-1P-17-VP-B</t>
  </si>
  <si>
    <t xml:space="preserve"> Supplier B premium    </t>
  </si>
  <si>
    <t>R-1P-18-VP-B</t>
  </si>
  <si>
    <t>R-1P-17-M70-B</t>
  </si>
  <si>
    <t xml:space="preserve"> Supplier B mixed      </t>
  </si>
  <si>
    <t>R-1P-18-M70-B</t>
  </si>
  <si>
    <t>R-1P-22-VW-B</t>
  </si>
  <si>
    <t xml:space="preserve"> Supplier B wet str    </t>
  </si>
  <si>
    <t xml:space="preserve">SUPPLIER C   
(IMPORT)     </t>
  </si>
  <si>
    <t>R-1P-15-V-C</t>
  </si>
  <si>
    <t xml:space="preserve"> Supplier C </t>
  </si>
  <si>
    <t xml:space="preserve"> Import virgin         </t>
  </si>
  <si>
    <t>R-1P-17-V-C</t>
  </si>
  <si>
    <t>R-1P-18-V-C</t>
  </si>
  <si>
    <t>R-1P-20-V-C</t>
  </si>
  <si>
    <t>R-1P-22-V-C</t>
  </si>
  <si>
    <t>R-1P-17-VP-C</t>
  </si>
  <si>
    <t xml:space="preserve"> Import premium        </t>
  </si>
  <si>
    <t>R-1P-18-VP-C</t>
  </si>
  <si>
    <t>R-1P-22-VW-C</t>
  </si>
  <si>
    <t xml:space="preserve"> Import wet strength   </t>
  </si>
  <si>
    <t>R-1P-17-VN-C</t>
  </si>
  <si>
    <t xml:space="preserve"> Import natural prem   </t>
  </si>
  <si>
    <t>R-1P-18-VN-C</t>
  </si>
  <si>
    <t xml:space="preserve">SPECIALTY     
GRADES       </t>
  </si>
  <si>
    <t>R-1P-14-TAD</t>
  </si>
  <si>
    <t xml:space="preserve"> TAD tissue            </t>
  </si>
  <si>
    <t>R-1P-16-TAD</t>
  </si>
  <si>
    <t>R-1P-18-TAD</t>
  </si>
  <si>
    <t>R-1P-17-BAM</t>
  </si>
  <si>
    <t xml:space="preserve"> Supplier D </t>
  </si>
  <si>
    <t xml:space="preserve"> Bamboo fiber          </t>
  </si>
  <si>
    <t>R-1P-18-BAM</t>
  </si>
  <si>
    <t>R-1P-17-FSC</t>
  </si>
  <si>
    <t xml:space="preserve"> FSC certified         </t>
  </si>
  <si>
    <t>R-1P-18-FSC</t>
  </si>
  <si>
    <t>R-1P-17-FD</t>
  </si>
  <si>
    <t xml:space="preserve"> Food grade certified  </t>
  </si>
  <si>
    <t>R-1P-18-FD</t>
  </si>
  <si>
    <t xml:space="preserve">2-PLY VIRGIN  
WHITE        
SOFTNESS    </t>
  </si>
  <si>
    <t>R-2P-13-V</t>
  </si>
  <si>
    <t xml:space="preserve"> No       </t>
  </si>
  <si>
    <t xml:space="preserve"> Ultra light 2-ply     </t>
  </si>
  <si>
    <t>R-2P-14-V</t>
  </si>
  <si>
    <t xml:space="preserve"> Light facial 2-ply    </t>
  </si>
  <si>
    <t>R-2P-15-V</t>
  </si>
  <si>
    <t xml:space="preserve"> Standard facial 2-ply </t>
  </si>
  <si>
    <t>R-2P-16-V</t>
  </si>
  <si>
    <t xml:space="preserve"> Light toilet 2-ply    </t>
  </si>
  <si>
    <t>R-2P-17-V</t>
  </si>
  <si>
    <t xml:space="preserve"> Standard toilet 2-ply </t>
  </si>
  <si>
    <t>R-2P-18-V</t>
  </si>
  <si>
    <t xml:space="preserve"> Standard napkin 2-ply </t>
  </si>
  <si>
    <t>R-2P-19-V</t>
  </si>
  <si>
    <t xml:space="preserve"> Medium weight 2-ply   </t>
  </si>
  <si>
    <t>R-2P-20-V</t>
  </si>
  <si>
    <t xml:space="preserve"> Kitchen towel 2-ply   </t>
  </si>
  <si>
    <t>R-2P-21-V</t>
  </si>
  <si>
    <t xml:space="preserve"> Medium KT 2-ply       </t>
  </si>
  <si>
    <t>R-2P-22-V</t>
  </si>
  <si>
    <t xml:space="preserve"> Standard KT 2-ply     </t>
  </si>
  <si>
    <t>R-2P-23-V</t>
  </si>
  <si>
    <t xml:space="preserve"> Heavy KT 2-ply        </t>
  </si>
  <si>
    <t>R-2P-24-V</t>
  </si>
  <si>
    <t xml:space="preserve"> Industrial 2-ply      </t>
  </si>
  <si>
    <t>R-2P-25-V</t>
  </si>
  <si>
    <t xml:space="preserve"> Heavy duty 2-ply      </t>
  </si>
  <si>
    <t>R-2P-28-V</t>
  </si>
  <si>
    <t xml:space="preserve"> Extra heavy 2-ply     </t>
  </si>
  <si>
    <t>R-2P-30-V</t>
  </si>
  <si>
    <t xml:space="preserve"> Wiper base 2-ply      </t>
  </si>
  <si>
    <t xml:space="preserve">2-PLY VIRGIN 
PREMIUM     
 WHITE        
SOFTNESS    </t>
  </si>
  <si>
    <t>R-2P-13-VP</t>
  </si>
  <si>
    <t xml:space="preserve"> Premium facial 2-ply  </t>
  </si>
  <si>
    <t>R-2P-14-VP</t>
  </si>
  <si>
    <t>R-2P-15-VP</t>
  </si>
  <si>
    <t xml:space="preserve"> Premium toilet 2-ply  </t>
  </si>
  <si>
    <t>R-2P-16-VP</t>
  </si>
  <si>
    <t>R-2P-17-VP</t>
  </si>
  <si>
    <t xml:space="preserve"> Luxury toilet 2-ply   </t>
  </si>
  <si>
    <t>R-2P-18-VP</t>
  </si>
  <si>
    <t xml:space="preserve"> Premium napkin 2-ply  </t>
  </si>
  <si>
    <t>R-2P-20-VP</t>
  </si>
  <si>
    <t xml:space="preserve"> Premium KT 2-ply      </t>
  </si>
  <si>
    <t>R-2P-22-VP</t>
  </si>
  <si>
    <t xml:space="preserve">2-PLY VIRGIN 
ULTRA        
WHITE       
 PREMIUM     </t>
  </si>
  <si>
    <t>R-2P-13-VUP</t>
  </si>
  <si>
    <t xml:space="preserve"> Ultra Prm</t>
  </si>
  <si>
    <t xml:space="preserve"> Ultra soft facial     </t>
  </si>
  <si>
    <t>R-2P-14-VUP</t>
  </si>
  <si>
    <t>R-2P-15-VUP</t>
  </si>
  <si>
    <t xml:space="preserve"> Ultra soft toilet     </t>
  </si>
  <si>
    <t>R-2P-16-VUP</t>
  </si>
  <si>
    <t>R-2P-17-VUP</t>
  </si>
  <si>
    <t>R-2P-18-VUP</t>
  </si>
  <si>
    <t xml:space="preserve"> Ultra soft napkin     </t>
  </si>
  <si>
    <t xml:space="preserve">2-PLY VIRGIN ECONOMY      
WHITE        
SOFTNESS    </t>
  </si>
  <si>
    <t>R-2P-15-VE</t>
  </si>
  <si>
    <t xml:space="preserve"> Budget toilet 2-ply   </t>
  </si>
  <si>
    <t>R-2P-17-VE</t>
  </si>
  <si>
    <t>R-2P-18-VE</t>
  </si>
  <si>
    <t xml:space="preserve"> Budget napkin 2-ply   </t>
  </si>
  <si>
    <t>R-2P-20-VE</t>
  </si>
  <si>
    <t xml:space="preserve"> Budget KT 2-ply       </t>
  </si>
  <si>
    <t>R-2P-22-VE</t>
  </si>
  <si>
    <t>R-2P-25-VE</t>
  </si>
  <si>
    <t xml:space="preserve"> Budget industrial     </t>
  </si>
  <si>
    <t xml:space="preserve">2-PLY MIXED 
(VIRGIN +    FIBER WHITE  RECYCLED)   </t>
  </si>
  <si>
    <t>R-2P-15-M80</t>
  </si>
  <si>
    <t xml:space="preserve"> 80% virgin blend 2P   </t>
  </si>
  <si>
    <t>R-2P-17-M80</t>
  </si>
  <si>
    <t>R-2P-18-M80</t>
  </si>
  <si>
    <t>R-2P-20-M80</t>
  </si>
  <si>
    <t>R-2P-22-M80</t>
  </si>
  <si>
    <t>R-2P-15-M70</t>
  </si>
  <si>
    <t xml:space="preserve"> 70% virgin blend 2P   </t>
  </si>
  <si>
    <t>R-2P-17-M70</t>
  </si>
  <si>
    <t>R-2P-18-M70</t>
  </si>
  <si>
    <t>R-2P-20-M70</t>
  </si>
  <si>
    <t>R-2P-22-M70</t>
  </si>
  <si>
    <t>R-2P-15-M50</t>
  </si>
  <si>
    <t xml:space="preserve"> 50% virgin blend 2P   </t>
  </si>
  <si>
    <t>R-2P-17-M50</t>
  </si>
  <si>
    <t>R-2P-18-M50</t>
  </si>
  <si>
    <t>R-2P-20-M50</t>
  </si>
  <si>
    <t>R-2P-22-M50</t>
  </si>
  <si>
    <t>R-2P-17-M30</t>
  </si>
  <si>
    <t xml:space="preserve"> 30% virgin blend 2P   </t>
  </si>
  <si>
    <t>R-2P-18-M30</t>
  </si>
  <si>
    <t>R-2P-20-M30</t>
  </si>
  <si>
    <t>R-2P-22-M30</t>
  </si>
  <si>
    <t xml:space="preserve">2-PLY 100%   
RECYCLED     </t>
  </si>
  <si>
    <t>R-2P-17-R</t>
  </si>
  <si>
    <t xml:space="preserve"> 100% recycled 2-ply   </t>
  </si>
  <si>
    <t>R-2P-18-R</t>
  </si>
  <si>
    <t>R-2P-20-R</t>
  </si>
  <si>
    <t>R-2P-22-R</t>
  </si>
  <si>
    <t>R-2P-25-R</t>
  </si>
  <si>
    <t>R-2P-17-RN</t>
  </si>
  <si>
    <t xml:space="preserve"> Recycled natural 2P   </t>
  </si>
  <si>
    <t>R-2P-18-RN</t>
  </si>
  <si>
    <t>R-2P-20-RN</t>
  </si>
  <si>
    <t xml:space="preserve">2-PLY WET     
STRENGTH     </t>
  </si>
  <si>
    <t>R-2P-18-VW</t>
  </si>
  <si>
    <t xml:space="preserve"> Yes      </t>
  </si>
  <si>
    <t xml:space="preserve"> Wet strength 2P nap   </t>
  </si>
  <si>
    <t>R-2P-20-VW</t>
  </si>
  <si>
    <t xml:space="preserve"> Wet strength 2P KT    </t>
  </si>
  <si>
    <t>R-2P-22-VW</t>
  </si>
  <si>
    <t>R-2P-24-VW</t>
  </si>
  <si>
    <t xml:space="preserve"> Wet strength 2P heavy </t>
  </si>
  <si>
    <t>R-2P-25-VW</t>
  </si>
  <si>
    <t>R-2P-28-VW</t>
  </si>
  <si>
    <t xml:space="preserve"> Wet strength industrial</t>
  </si>
  <si>
    <t>R-2P-30-VW</t>
  </si>
  <si>
    <t>R-2P-35-VW</t>
  </si>
  <si>
    <t xml:space="preserve"> Heavy duty wiper 2P   </t>
  </si>
  <si>
    <t>R-2P-40-VW</t>
  </si>
  <si>
    <t>R-2P-20-VWP</t>
  </si>
  <si>
    <t xml:space="preserve"> Premium wet str 2P    </t>
  </si>
  <si>
    <t>R-2P-22-VWP</t>
  </si>
  <si>
    <t xml:space="preserve">2-PLY        
NATURAL      </t>
  </si>
  <si>
    <t>R-2P-15-VN</t>
  </si>
  <si>
    <t xml:space="preserve"> Unbleached 2-ply      </t>
  </si>
  <si>
    <t>R-2P-17-VN</t>
  </si>
  <si>
    <t xml:space="preserve"> Unbleached toilet 2P  </t>
  </si>
  <si>
    <t>R-2P-18-VN</t>
  </si>
  <si>
    <t xml:space="preserve"> Unbleached napkin 2P  </t>
  </si>
  <si>
    <t>R-2P-20-VN</t>
  </si>
  <si>
    <t xml:space="preserve"> Unbleached KT 2P      </t>
  </si>
  <si>
    <t>R-2P-22-VN</t>
  </si>
  <si>
    <t>R-2P-17-VNP</t>
  </si>
  <si>
    <t xml:space="preserve"> Premium natural 2P    </t>
  </si>
  <si>
    <t>R-2P-18-VNP</t>
  </si>
  <si>
    <t>R-2P-17-VNW</t>
  </si>
  <si>
    <t xml:space="preserve"> Natural wet str 2P    </t>
  </si>
  <si>
    <t>R-2P-20-VNW</t>
  </si>
  <si>
    <t xml:space="preserve"> Natural wet str KT 2P </t>
  </si>
  <si>
    <t>R-2P-22-VNW</t>
  </si>
  <si>
    <t xml:space="preserve">2-PLY         
COLORED      </t>
  </si>
  <si>
    <t>R-2P-17-VC</t>
  </si>
  <si>
    <t xml:space="preserve"> Dyed tissue 2-ply     </t>
  </si>
  <si>
    <t>R-2P-18-VC</t>
  </si>
  <si>
    <t xml:space="preserve"> Dyed napkin 2-ply     </t>
  </si>
  <si>
    <t>R-2P-20-VC</t>
  </si>
  <si>
    <t>R-2P-22-VC</t>
  </si>
  <si>
    <t>R-2P-17-VCP</t>
  </si>
  <si>
    <t xml:space="preserve"> Premium colored 2P    </t>
  </si>
  <si>
    <t>R-2P-18-VCP</t>
  </si>
  <si>
    <t xml:space="preserve">2-PLY         
SUPPLIER B   </t>
  </si>
  <si>
    <t>R-2P-15-V-B</t>
  </si>
  <si>
    <t xml:space="preserve"> Supplier B virgin 2P  </t>
  </si>
  <si>
    <t>R-2P-17-V-B</t>
  </si>
  <si>
    <t>R-2P-18-V-B</t>
  </si>
  <si>
    <t>R-2P-20-V-B</t>
  </si>
  <si>
    <t>R-2P-22-V-B</t>
  </si>
  <si>
    <t>R-2P-17-VP-B</t>
  </si>
  <si>
    <t xml:space="preserve"> Supplier B premium 2P </t>
  </si>
  <si>
    <t>R-2P-18-VP-B</t>
  </si>
  <si>
    <t>R-2P-17-M70-B</t>
  </si>
  <si>
    <t xml:space="preserve"> Supplier B mixed 2P   </t>
  </si>
  <si>
    <t>R-2P-18-M70-B</t>
  </si>
  <si>
    <t>R-2P-22-VW-B</t>
  </si>
  <si>
    <t xml:space="preserve"> Supplier B wet str 2P </t>
  </si>
  <si>
    <t xml:space="preserve">2-PLY         
SUPPLIER C   </t>
  </si>
  <si>
    <t>R-2P-15-V-C</t>
  </si>
  <si>
    <t xml:space="preserve"> Import virgin 2P      </t>
  </si>
  <si>
    <t>R-2P-17-V-C</t>
  </si>
  <si>
    <t>R-2P-18-V-C</t>
  </si>
  <si>
    <t>R-2P-20-V-C</t>
  </si>
  <si>
    <t>R-2P-22-V-C</t>
  </si>
  <si>
    <t>R-2P-17-VP-C</t>
  </si>
  <si>
    <t xml:space="preserve"> Import premium 2P     </t>
  </si>
  <si>
    <t>R-2P-18-VP-C</t>
  </si>
  <si>
    <t>R-2P-22-VW-C</t>
  </si>
  <si>
    <t xml:space="preserve"> Import wet str 2P     </t>
  </si>
  <si>
    <t>R-2P-17-VN-C</t>
  </si>
  <si>
    <t xml:space="preserve"> Import natural prem2P </t>
  </si>
  <si>
    <t>R-2P-18-VN-C</t>
  </si>
  <si>
    <t xml:space="preserve">2-PLY         
SPECIALTY    </t>
  </si>
  <si>
    <t>R-2P-14-TAD</t>
  </si>
  <si>
    <t xml:space="preserve"> TAD tissue 2-ply      </t>
  </si>
  <si>
    <t>R-2P-16-TAD</t>
  </si>
  <si>
    <t>R-2P-18-TAD</t>
  </si>
  <si>
    <t>R-2P-17-BAM</t>
  </si>
  <si>
    <t xml:space="preserve"> Bamboo fiber 2-ply    </t>
  </si>
  <si>
    <t>R-2P-18-BAM</t>
  </si>
  <si>
    <t>R-2P-22-BAM</t>
  </si>
  <si>
    <t>R-2P-17-FSC</t>
  </si>
  <si>
    <t xml:space="preserve"> FSC certified 2-ply   </t>
  </si>
  <si>
    <t>R-2P-18-FSC</t>
  </si>
  <si>
    <t>R-2P-17-FD</t>
  </si>
  <si>
    <t xml:space="preserve"> Food grade cert 2-ply </t>
  </si>
  <si>
    <t>R-2P-18-FD</t>
  </si>
  <si>
    <t>R-2P-17-FSCF</t>
  </si>
  <si>
    <t xml:space="preserve"> FSC + Food grade 2P   </t>
  </si>
  <si>
    <t>R-2P-18-FSCF</t>
  </si>
  <si>
    <t xml:space="preserve">3-PLY VIRGIN 
STANDARD     
WHITE        
SOFTNESS    </t>
  </si>
  <si>
    <t>R-3P-12-V</t>
  </si>
  <si>
    <t xml:space="preserve"> Ultra light 3-ply     </t>
  </si>
  <si>
    <t>R-3P-13-V</t>
  </si>
  <si>
    <t xml:space="preserve"> Light facial 3-ply    </t>
  </si>
  <si>
    <t>R-3P-14-V</t>
  </si>
  <si>
    <t xml:space="preserve"> Standard facial 3-ply </t>
  </si>
  <si>
    <t>R-3P-15-V</t>
  </si>
  <si>
    <t xml:space="preserve"> Premium facial 3-ply  </t>
  </si>
  <si>
    <t>R-3P-16-V</t>
  </si>
  <si>
    <t xml:space="preserve"> Light toilet 3-ply    </t>
  </si>
  <si>
    <t>R-3P-17-V</t>
  </si>
  <si>
    <t xml:space="preserve"> Standard toilet 3-ply </t>
  </si>
  <si>
    <t>R-3P-18-V</t>
  </si>
  <si>
    <t xml:space="preserve"> Standard napkin 3-ply </t>
  </si>
  <si>
    <t>R-3P-19-V</t>
  </si>
  <si>
    <t xml:space="preserve"> Medium weight 3-ply   </t>
  </si>
  <si>
    <t>R-3P-20-V</t>
  </si>
  <si>
    <t xml:space="preserve"> Heavy 3-ply           </t>
  </si>
  <si>
    <t>R-3P-22-V</t>
  </si>
  <si>
    <t xml:space="preserve"> Extra heavy 3-ply     </t>
  </si>
  <si>
    <t xml:space="preserve">3-PLY VIRGIN 
PREMIUM      
WHITE        
SOFTNESS    </t>
  </si>
  <si>
    <t>R-3P-12-VP</t>
  </si>
  <si>
    <t xml:space="preserve"> Premium ultra light3P </t>
  </si>
  <si>
    <t>R-3P-13-VP</t>
  </si>
  <si>
    <t>R-3P-14-VP</t>
  </si>
  <si>
    <t>R-3P-15-VP</t>
  </si>
  <si>
    <t xml:space="preserve"> Premium toilet 3-ply  </t>
  </si>
  <si>
    <t>R-3P-16-VP</t>
  </si>
  <si>
    <t>R-3P-17-VP</t>
  </si>
  <si>
    <t xml:space="preserve"> Luxury toilet 3-ply   </t>
  </si>
  <si>
    <t>R-3P-18-VP</t>
  </si>
  <si>
    <t xml:space="preserve"> Premium napkin 3-ply  </t>
  </si>
  <si>
    <t>R-3P-20-VP</t>
  </si>
  <si>
    <t xml:space="preserve"> Premium heavy 3-ply   </t>
  </si>
  <si>
    <t xml:space="preserve">3-PLY VIRGIN 
ULTRA        
WHITE        
PREMIUM     </t>
  </si>
  <si>
    <t>R-3P-12-VUP</t>
  </si>
  <si>
    <t xml:space="preserve"> Ultra soft facial 3P  </t>
  </si>
  <si>
    <t>R-3P-13-VUP</t>
  </si>
  <si>
    <t>R-3P-14-VUP</t>
  </si>
  <si>
    <t>R-3P-15-VUP</t>
  </si>
  <si>
    <t xml:space="preserve"> Ultra soft toilet 3P  </t>
  </si>
  <si>
    <t>R-3P-16-VUP</t>
  </si>
  <si>
    <t>R-3P-17-VUP</t>
  </si>
  <si>
    <t>R-3P-18-VUP</t>
  </si>
  <si>
    <t xml:space="preserve"> Ultra soft napkin 3P  </t>
  </si>
  <si>
    <t xml:space="preserve">3-PLY VIRGIN 
ECONOMY      
WHITE        SOFTNESS    </t>
  </si>
  <si>
    <t>R-3P-14-VE</t>
  </si>
  <si>
    <t xml:space="preserve"> Budget facial 3-ply   </t>
  </si>
  <si>
    <t>R-3P-15-VE</t>
  </si>
  <si>
    <t xml:space="preserve"> Budget toilet 3-ply   </t>
  </si>
  <si>
    <t>R-3P-16-VE</t>
  </si>
  <si>
    <t>R-3P-17-VE</t>
  </si>
  <si>
    <t>R-3P-18-VE</t>
  </si>
  <si>
    <t xml:space="preserve"> Budget napkin 3-ply   </t>
  </si>
  <si>
    <t>R-3P-20-VE</t>
  </si>
  <si>
    <t xml:space="preserve"> Budget heavy 3-ply    </t>
  </si>
  <si>
    <t xml:space="preserve">3-PLY MIXED  
80% VIRGIN   
FIBER WHITE  </t>
  </si>
  <si>
    <t>R-3P-14-M80</t>
  </si>
  <si>
    <t xml:space="preserve"> 80% virgin blend 3P   </t>
  </si>
  <si>
    <t>R-3P-15-M80</t>
  </si>
  <si>
    <t>R-3P-16-M80</t>
  </si>
  <si>
    <t>R-3P-17-M80</t>
  </si>
  <si>
    <t>R-3P-18-M80</t>
  </si>
  <si>
    <t>R-3P-20-M80</t>
  </si>
  <si>
    <t xml:space="preserve">3-PLY MIXED  
70% VIRGIN   
FIBER WHITE  </t>
  </si>
  <si>
    <t>R-3P-14-M70</t>
  </si>
  <si>
    <t xml:space="preserve"> 70% virgin blend 3P   </t>
  </si>
  <si>
    <t>R-3P-15-M70</t>
  </si>
  <si>
    <t>R-3P-16-M70</t>
  </si>
  <si>
    <t>R-3P-17-M70</t>
  </si>
  <si>
    <t>R-3P-18-M70</t>
  </si>
  <si>
    <t>R-3P-20-M70</t>
  </si>
  <si>
    <t xml:space="preserve">3-PLY MIXED  
50% VIRGIN   
FIBER WHITE  </t>
  </si>
  <si>
    <t>R-3P-14-M50</t>
  </si>
  <si>
    <t xml:space="preserve"> 50% virgin blend 3P   </t>
  </si>
  <si>
    <t>R-3P-15-M50</t>
  </si>
  <si>
    <t>R-3P-16-M50</t>
  </si>
  <si>
    <t>R-3P-17-M50</t>
  </si>
  <si>
    <t>R-3P-18-M50</t>
  </si>
  <si>
    <t>R-3P-20-M50</t>
  </si>
  <si>
    <t xml:space="preserve">3-PLY MIXED  
30% VIRGIN   
FIBER WHITE  </t>
  </si>
  <si>
    <t>R-3P-15-M30</t>
  </si>
  <si>
    <t xml:space="preserve"> 30% virgin blend 3P   </t>
  </si>
  <si>
    <t>R-3P-16-M30</t>
  </si>
  <si>
    <t>R-3P-17-M30</t>
  </si>
  <si>
    <t>R-3P-18-M30</t>
  </si>
  <si>
    <t>R-3P-20-M30</t>
  </si>
  <si>
    <t xml:space="preserve">3-PLY 100%    
RECYCLED     </t>
  </si>
  <si>
    <t>R-3P-15-R</t>
  </si>
  <si>
    <t xml:space="preserve"> 100% recycled 3-ply   </t>
  </si>
  <si>
    <t>R-3P-16-R</t>
  </si>
  <si>
    <t>R-3P-17-R</t>
  </si>
  <si>
    <t>R-3P-18-R</t>
  </si>
  <si>
    <t>R-3P-20-R</t>
  </si>
  <si>
    <t>R-3P-15-RN</t>
  </si>
  <si>
    <t xml:space="preserve"> Recycled natural 3P   </t>
  </si>
  <si>
    <t>R-3P-17-RN</t>
  </si>
  <si>
    <t>R-3P-18-RN</t>
  </si>
  <si>
    <t xml:space="preserve">3-PLY WET     
STRENGTH     </t>
  </si>
  <si>
    <t>R-3P-15-VW</t>
  </si>
  <si>
    <t xml:space="preserve"> Wet strength 3P       </t>
  </si>
  <si>
    <t>R-3P-16-VW</t>
  </si>
  <si>
    <t>R-3P-17-VW</t>
  </si>
  <si>
    <t xml:space="preserve"> Wet strength 3P nap   </t>
  </si>
  <si>
    <t>R-3P-18-VW</t>
  </si>
  <si>
    <t>R-3P-20-VW</t>
  </si>
  <si>
    <t xml:space="preserve"> Wet strength 3P KT    </t>
  </si>
  <si>
    <t>R-3P-22-VW</t>
  </si>
  <si>
    <t>R-3P-17-VWP</t>
  </si>
  <si>
    <t xml:space="preserve"> Premium wet str 3P    </t>
  </si>
  <si>
    <t>R-3P-18-VWP</t>
  </si>
  <si>
    <t>R-3P-20-VWP</t>
  </si>
  <si>
    <t xml:space="preserve">3-PLY         
NATURAL      </t>
  </si>
  <si>
    <t>R-3P-14-VN</t>
  </si>
  <si>
    <t xml:space="preserve"> Unbleached facial 3P  </t>
  </si>
  <si>
    <t>R-3P-15-VN</t>
  </si>
  <si>
    <t xml:space="preserve"> Unbleached 3-ply      </t>
  </si>
  <si>
    <t>R-3P-16-VN</t>
  </si>
  <si>
    <t xml:space="preserve"> Unbleached toilet 3P  </t>
  </si>
  <si>
    <t>R-3P-17-VN</t>
  </si>
  <si>
    <t>R-3P-18-VN</t>
  </si>
  <si>
    <t xml:space="preserve"> Unbleached napkin 3P  </t>
  </si>
  <si>
    <t>R-3P-20-VN</t>
  </si>
  <si>
    <t xml:space="preserve"> Unbleached KT 3P      </t>
  </si>
  <si>
    <t>R-3P-15-VNP</t>
  </si>
  <si>
    <t xml:space="preserve"> Premium natural 3P    </t>
  </si>
  <si>
    <t>R-3P-17-VNP</t>
  </si>
  <si>
    <t>R-3P-18-VNP</t>
  </si>
  <si>
    <t>R-3P-17-VNW</t>
  </si>
  <si>
    <t xml:space="preserve"> Natural wet str 3P    </t>
  </si>
  <si>
    <t>R-3P-18-VNW</t>
  </si>
  <si>
    <t xml:space="preserve">3-PLY         
COLORED      </t>
  </si>
  <si>
    <t>R-3P-15-VC</t>
  </si>
  <si>
    <t xml:space="preserve"> Dyed tissue 3-ply     </t>
  </si>
  <si>
    <t>R-3P-16-VC</t>
  </si>
  <si>
    <t>R-3P-17-VC</t>
  </si>
  <si>
    <t>R-3P-18-VC</t>
  </si>
  <si>
    <t xml:space="preserve"> Dyed napkin 3-ply     </t>
  </si>
  <si>
    <t>R-3P-20-VC</t>
  </si>
  <si>
    <t>R-3P-15-VCP</t>
  </si>
  <si>
    <t xml:space="preserve"> Premium colored 3P    </t>
  </si>
  <si>
    <t>R-3P-17-VCP</t>
  </si>
  <si>
    <t>R-3P-18-VCP</t>
  </si>
  <si>
    <t xml:space="preserve">3-PLY         
SUPPLIER B   </t>
  </si>
  <si>
    <t>R-3P-14-V-B</t>
  </si>
  <si>
    <t xml:space="preserve"> Supplier B virgin 3P  </t>
  </si>
  <si>
    <t>R-3P-15-V-B</t>
  </si>
  <si>
    <t>R-3P-16-V-B</t>
  </si>
  <si>
    <t>R-3P-17-V-B</t>
  </si>
  <si>
    <t>R-3P-18-V-B</t>
  </si>
  <si>
    <t>R-3P-20-V-B</t>
  </si>
  <si>
    <t>R-3P-15-VP-B</t>
  </si>
  <si>
    <t xml:space="preserve"> Supplier B premium 3P </t>
  </si>
  <si>
    <t>R-3P-17-VP-B</t>
  </si>
  <si>
    <t>R-3P-18-VP-B</t>
  </si>
  <si>
    <t>R-3P-15-M70-B</t>
  </si>
  <si>
    <t xml:space="preserve"> Supplier B mixed 3P   </t>
  </si>
  <si>
    <t>R-3P-17-M70-B</t>
  </si>
  <si>
    <t>R-3P-18-M70-B</t>
  </si>
  <si>
    <t>R-3P-17-VW-B</t>
  </si>
  <si>
    <t xml:space="preserve"> Supplier B wet str 3P </t>
  </si>
  <si>
    <t>R-3P-18-VW-B</t>
  </si>
  <si>
    <t xml:space="preserve">3-PLY         
SUPPLIER C   </t>
  </si>
  <si>
    <t>R-3P-14-V-C</t>
  </si>
  <si>
    <t xml:space="preserve"> Import virgin 3P      </t>
  </si>
  <si>
    <t>R-3P-15-V-C</t>
  </si>
  <si>
    <t>R-3P-16-V-C</t>
  </si>
  <si>
    <t>R-3P-17-V-C</t>
  </si>
  <si>
    <t>R-3P-18-V-C</t>
  </si>
  <si>
    <t>R-3P-20-V-C</t>
  </si>
  <si>
    <t>R-3P-15-VP-C</t>
  </si>
  <si>
    <t xml:space="preserve"> Import premium 3P     </t>
  </si>
  <si>
    <t>R-3P-17-VP-C</t>
  </si>
  <si>
    <t>R-3P-18-VP-C</t>
  </si>
  <si>
    <t>R-3P-15-VUP-C</t>
  </si>
  <si>
    <t xml:space="preserve"> Import ultra prm 3P   </t>
  </si>
  <si>
    <t>R-3P-17-VUP-C</t>
  </si>
  <si>
    <t>R-3P-17-VW-C</t>
  </si>
  <si>
    <t xml:space="preserve"> Import wet str 3P     </t>
  </si>
  <si>
    <t>R-3P-18-VW-C</t>
  </si>
  <si>
    <t>R-3P-15-VN-C</t>
  </si>
  <si>
    <t xml:space="preserve"> Import natural prem3P </t>
  </si>
  <si>
    <t>R-3P-17-VN-C</t>
  </si>
  <si>
    <t xml:space="preserve">3-PLY         
SPECIALTY    </t>
  </si>
  <si>
    <t>R-3P-12-TAD</t>
  </si>
  <si>
    <t xml:space="preserve"> TAD tissue 3-ply      </t>
  </si>
  <si>
    <t>R-3P-13-TAD</t>
  </si>
  <si>
    <t>R-3P-14-TAD</t>
  </si>
  <si>
    <t>R-3P-15-TAD</t>
  </si>
  <si>
    <t>R-3P-16-TAD</t>
  </si>
  <si>
    <t>R-3P-15-BAM</t>
  </si>
  <si>
    <t xml:space="preserve"> Bamboo fiber 3-ply    </t>
  </si>
  <si>
    <t>R-3P-17-BAM</t>
  </si>
  <si>
    <t>R-3P-18-BAM</t>
  </si>
  <si>
    <t>R-3P-15-BAMP</t>
  </si>
  <si>
    <t xml:space="preserve"> Premium bamboo 3P     </t>
  </si>
  <si>
    <t>R-3P-17-BAMP</t>
  </si>
  <si>
    <t>R-3P-15-FSC</t>
  </si>
  <si>
    <t xml:space="preserve"> FSC certified 3-ply   </t>
  </si>
  <si>
    <t>R-3P-17-FSC</t>
  </si>
  <si>
    <t>R-3P-18-FSC</t>
  </si>
  <si>
    <t>R-3P-15-FSCP</t>
  </si>
  <si>
    <t xml:space="preserve"> FSC premium 3-ply     </t>
  </si>
  <si>
    <t>R-3P-17-FSCP</t>
  </si>
  <si>
    <t>R-3P-15-FD</t>
  </si>
  <si>
    <t xml:space="preserve"> Food grade cert 3-ply </t>
  </si>
  <si>
    <t>R-3P-17-FD</t>
  </si>
  <si>
    <t>R-3P-18-FD</t>
  </si>
  <si>
    <t>R-3P-15-FSCF</t>
  </si>
  <si>
    <t xml:space="preserve"> FSC + Food grade 3P   </t>
  </si>
  <si>
    <t>R-3P-17-FSCF</t>
  </si>
  <si>
    <t>R-3P-18-FSCF</t>
  </si>
  <si>
    <t xml:space="preserve">3-PLY         
LOTION/TREATED      </t>
  </si>
  <si>
    <t>R-3P-14-VL</t>
  </si>
  <si>
    <t xml:space="preserve"> Lotion treated 3P     </t>
  </si>
  <si>
    <t>R-3P-15-VL</t>
  </si>
  <si>
    <t>R-3P-16-VL</t>
  </si>
  <si>
    <t>R-3P-17-VL</t>
  </si>
  <si>
    <t>R-3P-14-VLA</t>
  </si>
  <si>
    <t xml:space="preserve"> Aloe vera treated 3P  </t>
  </si>
  <si>
    <t>R-3P-15-VLA</t>
  </si>
  <si>
    <t>Product_Code</t>
  </si>
  <si>
    <t>Product_Name</t>
  </si>
  <si>
    <t>Category</t>
  </si>
  <si>
    <t>Sheet_Length_mm</t>
  </si>
  <si>
    <t>Sheet_Width_mm</t>
  </si>
  <si>
    <t>Sheet_Area_m2</t>
  </si>
  <si>
    <t>Sheets_Per_Unit</t>
  </si>
  <si>
    <t>Core_Weight_g</t>
  </si>
  <si>
    <t>Core_ID_mm</t>
  </si>
  <si>
    <t>Roll_Dia_mm</t>
  </si>
  <si>
    <t>Emboss</t>
  </si>
  <si>
    <t>Print</t>
  </si>
  <si>
    <t>Wrap_Type</t>
  </si>
  <si>
    <t>Units_Per_Carton</t>
  </si>
  <si>
    <t>Cartons_Per_Pallet</t>
  </si>
  <si>
    <t>Pallets_Per_40HC</t>
  </si>
  <si>
    <t>Matched_Reel_Code</t>
  </si>
  <si>
    <t>Certification</t>
  </si>
  <si>
    <t>TOILET ROLLS</t>
  </si>
  <si>
    <t xml:space="preserve">2-PLY 
STANDARD                    
 VIRGIN                      </t>
  </si>
  <si>
    <t xml:space="preserve"> TT-2P-100-S  </t>
  </si>
  <si>
    <t xml:space="preserve"> Toilet Roll 2P 100Sht Std   </t>
  </si>
  <si>
    <t>TT</t>
  </si>
  <si>
    <t>No</t>
  </si>
  <si>
    <t>White</t>
  </si>
  <si>
    <t>Standard</t>
  </si>
  <si>
    <t>Printed</t>
  </si>
  <si>
    <t>None</t>
  </si>
  <si>
    <t xml:space="preserve"> TT-2P-150-S  </t>
  </si>
  <si>
    <t xml:space="preserve"> Toilet Roll 2P 150Sht Std   </t>
  </si>
  <si>
    <t xml:space="preserve"> TT-2P-180-S  </t>
  </si>
  <si>
    <t xml:space="preserve"> Toilet Roll 2P 180Sht Std   </t>
  </si>
  <si>
    <t xml:space="preserve"> TT-2P-200-S  </t>
  </si>
  <si>
    <t xml:space="preserve"> Toilet Roll 2P 200Sht Std   </t>
  </si>
  <si>
    <t xml:space="preserve"> TT-2P-220-S  </t>
  </si>
  <si>
    <t xml:space="preserve"> Toilet Roll 2P 220Sht Std   </t>
  </si>
  <si>
    <t xml:space="preserve"> TT-2P-250-S  </t>
  </si>
  <si>
    <t xml:space="preserve"> Toilet Roll 2P 250Sht Std   </t>
  </si>
  <si>
    <t xml:space="preserve"> TT-2P-300-S  </t>
  </si>
  <si>
    <t xml:space="preserve"> Toilet Roll 2P 300Sht Std   </t>
  </si>
  <si>
    <t xml:space="preserve"> TT-2P-350-S  </t>
  </si>
  <si>
    <t xml:space="preserve"> Toilet Roll 2P 350Sht Std   </t>
  </si>
  <si>
    <t xml:space="preserve"> TT-2P-400-S  </t>
  </si>
  <si>
    <t xml:space="preserve"> Toilet Roll 2P 400Sht Std   </t>
  </si>
  <si>
    <t xml:space="preserve"> TT-2P-500-S  </t>
  </si>
  <si>
    <t xml:space="preserve"> Toilet Roll 2P 500Sht Std   </t>
  </si>
  <si>
    <t xml:space="preserve"> TT-2P-600-S  </t>
  </si>
  <si>
    <t xml:space="preserve"> Toilet Roll 2P 600Sht Std   </t>
  </si>
  <si>
    <t xml:space="preserve"> TT-2P-800-S  </t>
  </si>
  <si>
    <t xml:space="preserve"> Toilet Roll 2P 800Sht Std   </t>
  </si>
  <si>
    <t xml:space="preserve"> TT-2P-1000-S </t>
  </si>
  <si>
    <t xml:space="preserve"> Toilet Roll 2P 1000Sht Std  </t>
  </si>
  <si>
    <t xml:space="preserve">2-PLY 
DEEP EMBOSS                  VIRGIN                      </t>
  </si>
  <si>
    <t xml:space="preserve"> TT-2P-150-D  </t>
  </si>
  <si>
    <t xml:space="preserve"> Toilet Roll 2P 150Sht Deep  </t>
  </si>
  <si>
    <t>Deep</t>
  </si>
  <si>
    <t xml:space="preserve"> TT-2P-200-D  </t>
  </si>
  <si>
    <t xml:space="preserve"> Toilet Roll 2P 200Sht Deep  </t>
  </si>
  <si>
    <t xml:space="preserve"> TT-2P-250-D  </t>
  </si>
  <si>
    <t xml:space="preserve"> Toilet Roll 2P 250Sht Deep  </t>
  </si>
  <si>
    <t xml:space="preserve"> TT-2P-300-D  </t>
  </si>
  <si>
    <t xml:space="preserve"> Toilet Roll 2P 300Sht Deep  </t>
  </si>
  <si>
    <t xml:space="preserve"> TT-2P-400-D  </t>
  </si>
  <si>
    <t xml:space="preserve"> Toilet Roll 2P 400Sht Deep  </t>
  </si>
  <si>
    <t xml:space="preserve"> TT-2P-500-D  </t>
  </si>
  <si>
    <t xml:space="preserve"> Toilet Roll 2P 500Sht Deep  </t>
  </si>
  <si>
    <t xml:space="preserve">2-PLY          
PREMIUM                      
SOFTNESS                    </t>
  </si>
  <si>
    <t xml:space="preserve"> TT-2P-150-P  </t>
  </si>
  <si>
    <t xml:space="preserve"> Toilet Roll 2P 150Sht Prem  </t>
  </si>
  <si>
    <t xml:space="preserve"> TT-2P-200-P  </t>
  </si>
  <si>
    <t xml:space="preserve"> Toilet Roll 2P 200Sht Prem  </t>
  </si>
  <si>
    <t xml:space="preserve"> TT-2P-250-P  </t>
  </si>
  <si>
    <t xml:space="preserve"> Toilet Roll 2P 250Sht Prem  </t>
  </si>
  <si>
    <t xml:space="preserve"> TT-2P-300-P  </t>
  </si>
  <si>
    <t xml:space="preserve"> Toilet Roll 2P 300Sht Prem  </t>
  </si>
  <si>
    <t xml:space="preserve"> TT-2P-400-P  </t>
  </si>
  <si>
    <t xml:space="preserve"> Toilet Roll 2P 400Sht Prem  </t>
  </si>
  <si>
    <t xml:space="preserve"> TT-2P-500-P  </t>
  </si>
  <si>
    <t xml:space="preserve"> Toilet Roll 2P 500Sht Prem  </t>
  </si>
  <si>
    <t xml:space="preserve">2-PLY           
ECONOMY                      
(MIXED FIBER)               </t>
  </si>
  <si>
    <t xml:space="preserve"> TT-2P-150-E  </t>
  </si>
  <si>
    <t xml:space="preserve"> Toilet Roll 2P 150Sht Eco   </t>
  </si>
  <si>
    <t>Light</t>
  </si>
  <si>
    <t>Plain</t>
  </si>
  <si>
    <t xml:space="preserve"> TT-2P-200-E  </t>
  </si>
  <si>
    <t xml:space="preserve"> Toilet Roll 2P 200Sht Eco   </t>
  </si>
  <si>
    <t xml:space="preserve"> TT-2P-250-E  </t>
  </si>
  <si>
    <t xml:space="preserve"> Toilet Roll 2P 250Sht Eco   </t>
  </si>
  <si>
    <t xml:space="preserve"> TT-2P-300-E  </t>
  </si>
  <si>
    <t xml:space="preserve"> Toilet Roll 2P 300Sht Eco   </t>
  </si>
  <si>
    <t xml:space="preserve"> TT-2P-400-E  </t>
  </si>
  <si>
    <t xml:space="preserve"> Toilet Roll 2P 400Sht Eco   </t>
  </si>
  <si>
    <t xml:space="preserve"> TT-2P-500-E  </t>
  </si>
  <si>
    <t xml:space="preserve"> Toilet Roll 2P 500Sht Eco   </t>
  </si>
  <si>
    <t xml:space="preserve"> TT-2P-600-E  </t>
  </si>
  <si>
    <t xml:space="preserve"> Toilet Roll 2P 600Sht Eco   </t>
  </si>
  <si>
    <t xml:space="preserve"> TT-2P-200-E50</t>
  </si>
  <si>
    <t xml:space="preserve"> Toilet Roll 2P 200Sht Eco50 </t>
  </si>
  <si>
    <t xml:space="preserve"> TT-2P-300-E50</t>
  </si>
  <si>
    <t xml:space="preserve"> Toilet Roll 2P 300Sht Eco50 </t>
  </si>
  <si>
    <t xml:space="preserve">2-PLY           
RECYCLED                    </t>
  </si>
  <si>
    <t xml:space="preserve"> TT-2P-200-R  </t>
  </si>
  <si>
    <t xml:space="preserve"> Toilet Roll 2P 200Sht Recy  </t>
  </si>
  <si>
    <t xml:space="preserve"> TT-2P-300-R  </t>
  </si>
  <si>
    <t xml:space="preserve"> Toilet Roll 2P 300Sht Recy  </t>
  </si>
  <si>
    <t xml:space="preserve"> TT-2P-400-R  </t>
  </si>
  <si>
    <t xml:space="preserve"> Toilet Roll 2P 400Sht Recy  </t>
  </si>
  <si>
    <t xml:space="preserve"> TT-2P-500-R  </t>
  </si>
  <si>
    <t xml:space="preserve"> Toilet Roll 2P 500Sht Recy  </t>
  </si>
  <si>
    <t xml:space="preserve">2-PLY           
NATURAL/ UNBLEACHED                  </t>
  </si>
  <si>
    <t xml:space="preserve"> TT-2P-150-N  </t>
  </si>
  <si>
    <t xml:space="preserve"> Toilet Roll 2P 150Sht Nat   </t>
  </si>
  <si>
    <t>Natural</t>
  </si>
  <si>
    <t>Paper</t>
  </si>
  <si>
    <t>FSC</t>
  </si>
  <si>
    <t xml:space="preserve"> TT-2P-200-N  </t>
  </si>
  <si>
    <t xml:space="preserve"> Toilet Roll 2P 200Sht Nat   </t>
  </si>
  <si>
    <t xml:space="preserve"> TT-2P-250-N  </t>
  </si>
  <si>
    <t xml:space="preserve"> Toilet Roll 2P 250Sht Nat   </t>
  </si>
  <si>
    <t xml:space="preserve"> TT-2P-300-N  </t>
  </si>
  <si>
    <t xml:space="preserve"> Toilet Roll 2P 300Sht Nat   </t>
  </si>
  <si>
    <t xml:space="preserve"> TT-2P-400-N  </t>
  </si>
  <si>
    <t xml:space="preserve"> Toilet Roll 2P 400Sht Nat   </t>
  </si>
  <si>
    <t xml:space="preserve"> TT-2P-200-NP </t>
  </si>
  <si>
    <t xml:space="preserve"> Toilet Roll 2P 200Sht NatPr </t>
  </si>
  <si>
    <t xml:space="preserve"> TT-2P-300-NP </t>
  </si>
  <si>
    <t xml:space="preserve"> Toilet Roll 2P 300Sht NatPr </t>
  </si>
  <si>
    <t xml:space="preserve">2-PLY           
FSC CERTIFIED                   </t>
  </si>
  <si>
    <t xml:space="preserve"> TT-2P-200-FSC</t>
  </si>
  <si>
    <t xml:space="preserve"> Toilet Roll 2P 200Sht FSC   </t>
  </si>
  <si>
    <t xml:space="preserve"> TT-2P-300-FSC</t>
  </si>
  <si>
    <t xml:space="preserve"> Toilet Roll 2P 300Sht FSC   </t>
  </si>
  <si>
    <t xml:space="preserve"> TT-2P-400-FSC</t>
  </si>
  <si>
    <t xml:space="preserve"> Toilet Roll 2P 400Sht FSC   </t>
  </si>
  <si>
    <t xml:space="preserve"> TT-2P-500-FSC</t>
  </si>
  <si>
    <t xml:space="preserve"> Toilet Roll 2P 500Sht FSC   </t>
  </si>
  <si>
    <t xml:space="preserve">3-PLY          
STANDARD                    
VIRGIN                      </t>
  </si>
  <si>
    <t xml:space="preserve"> TT-3P-100-S  </t>
  </si>
  <si>
    <t xml:space="preserve"> Toilet Roll 3P 100Sht Std   </t>
  </si>
  <si>
    <t xml:space="preserve"> TT-3P-120-S  </t>
  </si>
  <si>
    <t xml:space="preserve"> Toilet Roll 3P 120Sht Std   </t>
  </si>
  <si>
    <t xml:space="preserve"> TT-3P-150-S  </t>
  </si>
  <si>
    <t xml:space="preserve"> Toilet Roll 3P 150Sht Std   </t>
  </si>
  <si>
    <t xml:space="preserve"> TT-3P-180-S  </t>
  </si>
  <si>
    <t xml:space="preserve"> Toilet Roll 3P 180Sht Std   </t>
  </si>
  <si>
    <t xml:space="preserve"> TT-3P-200-S  </t>
  </si>
  <si>
    <t xml:space="preserve"> Toilet Roll 3P 200Sht Std   </t>
  </si>
  <si>
    <t xml:space="preserve"> TT-3P-250-S  </t>
  </si>
  <si>
    <t xml:space="preserve"> Toilet Roll 3P 250Sht Std   </t>
  </si>
  <si>
    <t xml:space="preserve"> TT-3P-300-S  </t>
  </si>
  <si>
    <t xml:space="preserve"> Toilet Roll 3P 300Sht Std   </t>
  </si>
  <si>
    <t xml:space="preserve"> TT-3P-400-S  </t>
  </si>
  <si>
    <t xml:space="preserve"> Toilet Roll 3P 400Sht Std   </t>
  </si>
  <si>
    <t xml:space="preserve">3-PLY           
PREMIUM                      
SOFTNESS                    </t>
  </si>
  <si>
    <t xml:space="preserve"> TT-3P-120-P  </t>
  </si>
  <si>
    <t xml:space="preserve"> Toilet Roll 3P 120Sht Prem  </t>
  </si>
  <si>
    <t xml:space="preserve"> TT-3P-150-P  </t>
  </si>
  <si>
    <t xml:space="preserve"> Toilet Roll 3P 150Sht Prem  </t>
  </si>
  <si>
    <t xml:space="preserve"> TT-3P-180-P  </t>
  </si>
  <si>
    <t xml:space="preserve"> Toilet Roll 3P 180Sht Prem  </t>
  </si>
  <si>
    <t xml:space="preserve"> TT-3P-200-P  </t>
  </si>
  <si>
    <t xml:space="preserve"> Toilet Roll 3P 200Sht Prem  </t>
  </si>
  <si>
    <t xml:space="preserve"> TT-3P-250-P  </t>
  </si>
  <si>
    <t xml:space="preserve"> Toilet Roll 3P 250Sht Prem  </t>
  </si>
  <si>
    <t xml:space="preserve"> TT-3P-300-P  </t>
  </si>
  <si>
    <t xml:space="preserve"> Toilet Roll 3P 300Sht Prem  </t>
  </si>
  <si>
    <t xml:space="preserve">3-PLY           
ULTRA                        
PREMIUM                     </t>
  </si>
  <si>
    <t xml:space="preserve"> TT-3P-120-UP </t>
  </si>
  <si>
    <t xml:space="preserve"> Toilet Roll 3P 120Sht UltPr </t>
  </si>
  <si>
    <t xml:space="preserve"> TT-3P-150-UP </t>
  </si>
  <si>
    <t xml:space="preserve"> Toilet Roll 3P 150Sht UltPr </t>
  </si>
  <si>
    <t xml:space="preserve"> TT-3P-180-UP </t>
  </si>
  <si>
    <t xml:space="preserve"> Toilet Roll 3P 180Sht UltPr </t>
  </si>
  <si>
    <t xml:space="preserve"> TT-3P-200-UP </t>
  </si>
  <si>
    <t xml:space="preserve"> Toilet Roll 3P 200Sht UltPr </t>
  </si>
  <si>
    <t xml:space="preserve"> TT-3P-250-UP </t>
  </si>
  <si>
    <t xml:space="preserve"> Toilet Roll 3P 250Sht UltPr </t>
  </si>
  <si>
    <t xml:space="preserve">3-PLY           
LOTION/ ALOE VERA                   </t>
  </si>
  <si>
    <t xml:space="preserve"> TT-3P-150-L  </t>
  </si>
  <si>
    <t xml:space="preserve"> Toilet Roll 3P 150Sht Lotion</t>
  </si>
  <si>
    <t xml:space="preserve"> TT-3P-200-L  </t>
  </si>
  <si>
    <t xml:space="preserve"> Toilet Roll 3P 200Sht Lotion</t>
  </si>
  <si>
    <t xml:space="preserve"> TT-3P-150-A  </t>
  </si>
  <si>
    <t xml:space="preserve"> Toilet Roll 3P 150Sht Aloe  </t>
  </si>
  <si>
    <t xml:space="preserve"> TT-3P-200-A  </t>
  </si>
  <si>
    <t xml:space="preserve"> Toilet Roll 3P 200Sht Aloe  </t>
  </si>
  <si>
    <t xml:space="preserve">3-PLY           
NATURAL                     </t>
  </si>
  <si>
    <t xml:space="preserve"> TT-3P-150-N  </t>
  </si>
  <si>
    <t xml:space="preserve"> Toilet Roll 3P 150Sht Nat   </t>
  </si>
  <si>
    <t xml:space="preserve"> TT-3P-200-N  </t>
  </si>
  <si>
    <t xml:space="preserve"> Toilet Roll 3P 200Sht Nat   </t>
  </si>
  <si>
    <t xml:space="preserve"> TT-3P-250-N  </t>
  </si>
  <si>
    <t xml:space="preserve"> Toilet Roll 3P 250Sht Nat   </t>
  </si>
  <si>
    <t xml:space="preserve"> TT-3P-200-NP </t>
  </si>
  <si>
    <t xml:space="preserve"> Toilet Roll 3P 200Sht NatPr </t>
  </si>
  <si>
    <t xml:space="preserve">3-PLY         
BAMBOO                      </t>
  </si>
  <si>
    <t xml:space="preserve"> TT-3P-150-BAM</t>
  </si>
  <si>
    <t xml:space="preserve"> Toilet Roll 3P 150Sht Bamboo</t>
  </si>
  <si>
    <t xml:space="preserve"> TT-3P-200-BAM</t>
  </si>
  <si>
    <t xml:space="preserve"> Toilet Roll 3P 200Sht Bamboo</t>
  </si>
  <si>
    <t xml:space="preserve"> TT-3P-250-BAM</t>
  </si>
  <si>
    <t xml:space="preserve"> Toilet Roll 3P 250Sht Bamboo</t>
  </si>
  <si>
    <t xml:space="preserve"> TT-3P-200-BMP</t>
  </si>
  <si>
    <t xml:space="preserve"> Toilet Roll 3P 200Sht BamPr </t>
  </si>
  <si>
    <t xml:space="preserve">1-PLY           
AFH/ JUMBO                       </t>
  </si>
  <si>
    <t xml:space="preserve"> TT-1P-JR-150 </t>
  </si>
  <si>
    <t xml:space="preserve"> Jumbo Roll 1P 150m          </t>
  </si>
  <si>
    <t xml:space="preserve"> TT-1P-JR-200 </t>
  </si>
  <si>
    <t xml:space="preserve"> Jumbo Roll 1P 200m          </t>
  </si>
  <si>
    <t xml:space="preserve"> TT-1P-JR-250 </t>
  </si>
  <si>
    <t xml:space="preserve"> Jumbo Roll 1P 250m          </t>
  </si>
  <si>
    <t xml:space="preserve"> TT-1P-JR-300 </t>
  </si>
  <si>
    <t xml:space="preserve"> Jumbo Roll 1P 300m          </t>
  </si>
  <si>
    <t xml:space="preserve"> TT-1P-JR-400 </t>
  </si>
  <si>
    <t xml:space="preserve"> Jumbo Roll 1P 400m          </t>
  </si>
  <si>
    <t xml:space="preserve"> TT-1P-JR-500 </t>
  </si>
  <si>
    <t xml:space="preserve"> Jumbo Roll 1P 500m          </t>
  </si>
  <si>
    <t xml:space="preserve">2-PLY          
AFH/JUMBO                       </t>
  </si>
  <si>
    <t xml:space="preserve"> TT-2P-JR-100 </t>
  </si>
  <si>
    <t xml:space="preserve"> Jumbo Roll 2P 100m          </t>
  </si>
  <si>
    <t xml:space="preserve"> TT-2P-JR-150 </t>
  </si>
  <si>
    <t xml:space="preserve"> Jumbo Roll 2P 150m          </t>
  </si>
  <si>
    <t xml:space="preserve"> TT-2P-JR-180 </t>
  </si>
  <si>
    <t xml:space="preserve"> Jumbo Roll 2P 180m          </t>
  </si>
  <si>
    <t xml:space="preserve"> TT-2P-JR-200 </t>
  </si>
  <si>
    <t xml:space="preserve"> Jumbo Roll 2P 200m          </t>
  </si>
  <si>
    <t xml:space="preserve"> TT-2P-JR-250 </t>
  </si>
  <si>
    <t xml:space="preserve"> Jumbo Roll 2P 250m          </t>
  </si>
  <si>
    <t xml:space="preserve">2-PLY           
MINI JUMBO                       </t>
  </si>
  <si>
    <t xml:space="preserve"> TT-2P-MJ-80  </t>
  </si>
  <si>
    <t xml:space="preserve"> Mini Jumbo 2P 80m           </t>
  </si>
  <si>
    <t xml:space="preserve"> TT-2P-MJ-100 </t>
  </si>
  <si>
    <t xml:space="preserve"> Mini Jumbo 2P 100m          </t>
  </si>
  <si>
    <t xml:space="preserve"> TT-2P-MJ-120 </t>
  </si>
  <si>
    <t xml:space="preserve"> Mini Jumbo 2P 120m          </t>
  </si>
  <si>
    <t xml:space="preserve"> TT-2P-MJ-150 </t>
  </si>
  <si>
    <t xml:space="preserve"> Mini Jumbo 2P 150m          </t>
  </si>
  <si>
    <t xml:space="preserve">COMPACT/ 
CORELESS                    </t>
  </si>
  <si>
    <t xml:space="preserve"> TT-2P-CL-700 </t>
  </si>
  <si>
    <t xml:space="preserve"> Coreless 2P 700Sht          </t>
  </si>
  <si>
    <t xml:space="preserve"> TT-2P-CL-900 </t>
  </si>
  <si>
    <t xml:space="preserve"> Coreless 2P 900Sht          </t>
  </si>
  <si>
    <t xml:space="preserve"> TT-2P-CL-1000</t>
  </si>
  <si>
    <t xml:space="preserve"> Coreless 2P 1000Sht         </t>
  </si>
  <si>
    <t xml:space="preserve"> TT-2P-CL-1200</t>
  </si>
  <si>
    <t xml:space="preserve"> Coreless 2P 1200Sht         </t>
  </si>
  <si>
    <t xml:space="preserve"> TT-2P-CL-1500</t>
  </si>
  <si>
    <t xml:space="preserve"> Coreless 2P 1500Sht         </t>
  </si>
  <si>
    <t>KITCHEN TOWEL</t>
  </si>
  <si>
    <t xml:space="preserve">AFH           
CENTER PULL                 </t>
  </si>
  <si>
    <t xml:space="preserve"> KT-1P-CP-100 </t>
  </si>
  <si>
    <t xml:space="preserve"> Center Pull 1P 100m         </t>
  </si>
  <si>
    <t>KT</t>
  </si>
  <si>
    <t>Yes</t>
  </si>
  <si>
    <t xml:space="preserve"> KT-1P-CP-150 </t>
  </si>
  <si>
    <t xml:space="preserve"> Center Pull 1P 150m         </t>
  </si>
  <si>
    <t xml:space="preserve"> KT-1P-CP-200 </t>
  </si>
  <si>
    <t xml:space="preserve"> Center Pull 1P 200m         </t>
  </si>
  <si>
    <t xml:space="preserve"> KT-1P-CP-275 </t>
  </si>
  <si>
    <t xml:space="preserve"> Center Pull 1P 275m         </t>
  </si>
  <si>
    <t xml:space="preserve"> KT-1P-CP-300 </t>
  </si>
  <si>
    <t xml:space="preserve"> Center Pull 1P 300m         </t>
  </si>
  <si>
    <t xml:space="preserve"> KT-2P-CP-60  </t>
  </si>
  <si>
    <t xml:space="preserve"> Center Pull 2P 60m          </t>
  </si>
  <si>
    <t xml:space="preserve"> KT-2P-CP-100 </t>
  </si>
  <si>
    <t xml:space="preserve"> Center Pull 2P 100m         </t>
  </si>
  <si>
    <t xml:space="preserve"> KT-2P-CP-150 </t>
  </si>
  <si>
    <t xml:space="preserve"> Center Pull 2P 150m         </t>
  </si>
  <si>
    <t xml:space="preserve">AFH           
ROLL TOWEL                   
(STANDARD CORE)             </t>
  </si>
  <si>
    <t xml:space="preserve"> KT-1P-RT-100 </t>
  </si>
  <si>
    <t xml:space="preserve"> Roll Towel 1P 100m          </t>
  </si>
  <si>
    <t xml:space="preserve"> KT-1P-RT-150 </t>
  </si>
  <si>
    <t xml:space="preserve"> Roll Towel 1P 150m          </t>
  </si>
  <si>
    <t xml:space="preserve"> KT-1P-RT-200 </t>
  </si>
  <si>
    <t xml:space="preserve"> Roll Towel 1P 200m          </t>
  </si>
  <si>
    <t xml:space="preserve"> KT-1P-RT-300 </t>
  </si>
  <si>
    <t xml:space="preserve"> Roll Towel 1P 300m          </t>
  </si>
  <si>
    <t xml:space="preserve"> KT-2P-RT-50  </t>
  </si>
  <si>
    <t xml:space="preserve"> Roll Towel 2P 50m           </t>
  </si>
  <si>
    <t xml:space="preserve"> KT-2P-RT-60  </t>
  </si>
  <si>
    <t xml:space="preserve"> Roll Towel 2P 60m           </t>
  </si>
  <si>
    <t xml:space="preserve"> KT-2P-RT-100 </t>
  </si>
  <si>
    <t xml:space="preserve"> Roll Towel 2P 100m          </t>
  </si>
  <si>
    <t xml:space="preserve"> KT-2P-RT-150 </t>
  </si>
  <si>
    <t xml:space="preserve"> Roll Towel 2P 150m          </t>
  </si>
  <si>
    <t xml:space="preserve"> KT-2P-RT-200 </t>
  </si>
  <si>
    <t xml:space="preserve"> Roll Towel 2P 200m          </t>
  </si>
  <si>
    <t xml:space="preserve">AFH           
MAXI ROLL                   </t>
  </si>
  <si>
    <t xml:space="preserve"> KT-1P-MX-500 </t>
  </si>
  <si>
    <t xml:space="preserve"> Maxi Roll 1P 500m           </t>
  </si>
  <si>
    <t xml:space="preserve"> KT-1P-MX-700 </t>
  </si>
  <si>
    <t xml:space="preserve"> Maxi Roll 1P 700m           </t>
  </si>
  <si>
    <t xml:space="preserve"> KT-1P-MX-1000</t>
  </si>
  <si>
    <t xml:space="preserve"> Maxi Roll 1P 1000m          </t>
  </si>
  <si>
    <t xml:space="preserve"> KT-2P-MX-300 </t>
  </si>
  <si>
    <t xml:space="preserve"> Maxi Roll 2P 300m           </t>
  </si>
  <si>
    <t xml:space="preserve"> KT-2P-MX-400 </t>
  </si>
  <si>
    <t xml:space="preserve"> Maxi Roll 2P 400m           </t>
  </si>
  <si>
    <t xml:space="preserve"> KT-2P-MX-500 </t>
  </si>
  <si>
    <t xml:space="preserve"> Maxi Roll 2P 500m           </t>
  </si>
  <si>
    <t xml:space="preserve">AFH           
NATURAL/UNBLEACHED                  </t>
  </si>
  <si>
    <t xml:space="preserve"> KT-1P-CP-150N</t>
  </si>
  <si>
    <t xml:space="preserve"> Center Pull 1P 150m Natural </t>
  </si>
  <si>
    <t xml:space="preserve"> KT-1P-CP-200N</t>
  </si>
  <si>
    <t xml:space="preserve"> Center Pull 1P 200m Natural </t>
  </si>
  <si>
    <t xml:space="preserve"> KT-2P-RT-100N</t>
  </si>
  <si>
    <t xml:space="preserve"> Roll Towel 2P 100m Natural  </t>
  </si>
  <si>
    <t xml:space="preserve"> KT-2P-RT-150N</t>
  </si>
  <si>
    <t xml:space="preserve"> Roll Towel 2P 150m Natural  </t>
  </si>
  <si>
    <t xml:space="preserve">AFH          
ECONOMY/RECYCLED                    </t>
  </si>
  <si>
    <t xml:space="preserve"> KT-1P-CP-200E</t>
  </si>
  <si>
    <t xml:space="preserve"> Center Pull 1P 200m Eco     </t>
  </si>
  <si>
    <t xml:space="preserve"> KT-1P-CP-300E</t>
  </si>
  <si>
    <t xml:space="preserve"> Center Pull 1P 300m Eco     </t>
  </si>
  <si>
    <t xml:space="preserve"> KT-1P-RT-200E</t>
  </si>
  <si>
    <t xml:space="preserve"> Roll Towel 1P 200m Eco      </t>
  </si>
  <si>
    <t xml:space="preserve"> KT-1P-MX-500E</t>
  </si>
  <si>
    <t xml:space="preserve"> Maxi Roll 1P 500m Eco       </t>
  </si>
  <si>
    <t xml:space="preserve">CONSUMER      
STANDARD                    </t>
  </si>
  <si>
    <t xml:space="preserve"> KT-2P-C-50   </t>
  </si>
  <si>
    <t xml:space="preserve"> Kitchen Roll 2P 50Sht       </t>
  </si>
  <si>
    <t xml:space="preserve"> KT-2P-C-70   </t>
  </si>
  <si>
    <t xml:space="preserve"> Kitchen Roll 2P 70Sht       </t>
  </si>
  <si>
    <t xml:space="preserve"> KT-2P-C-100  </t>
  </si>
  <si>
    <t xml:space="preserve"> Kitchen Roll 2P 100Sht      </t>
  </si>
  <si>
    <t xml:space="preserve"> KT-2P-C-120  </t>
  </si>
  <si>
    <t xml:space="preserve"> Kitchen Roll 2P 120Sht      </t>
  </si>
  <si>
    <t xml:space="preserve"> KT-2P-C-150  </t>
  </si>
  <si>
    <t xml:space="preserve"> Kitchen Roll 2P 150Sht      </t>
  </si>
  <si>
    <t xml:space="preserve"> KT-2P-C-200  </t>
  </si>
  <si>
    <t xml:space="preserve"> Kitchen Roll 2P 200Sht      </t>
  </si>
  <si>
    <t xml:space="preserve">CONSUMER      
PREMIUM                     </t>
  </si>
  <si>
    <t xml:space="preserve"> KT-2P-CP-50  </t>
  </si>
  <si>
    <t xml:space="preserve"> Kitchen Roll 2P 50Sht Prem  </t>
  </si>
  <si>
    <t xml:space="preserve"> KT-2P-CP-70  </t>
  </si>
  <si>
    <t xml:space="preserve"> Kitchen Roll 2P 70Sht Prem  </t>
  </si>
  <si>
    <t xml:space="preserve"> Kitchen Roll 2P 100Sht Prem </t>
  </si>
  <si>
    <t xml:space="preserve"> KT-3P-CP-50  </t>
  </si>
  <si>
    <t xml:space="preserve"> Kitchen Roll 3P 50Sht Prem  </t>
  </si>
  <si>
    <t xml:space="preserve"> KT-3P-CP-70  </t>
  </si>
  <si>
    <t xml:space="preserve"> Kitchen Roll 3P 70Sht Prem  </t>
  </si>
  <si>
    <t xml:space="preserve">CONSUMER      
ECONOMY                     </t>
  </si>
  <si>
    <t xml:space="preserve"> KT-2P-CE-50  </t>
  </si>
  <si>
    <t xml:space="preserve"> Kitchen Roll 2P 50Sht Eco   </t>
  </si>
  <si>
    <t xml:space="preserve"> KT-2P-CE-70  </t>
  </si>
  <si>
    <t xml:space="preserve"> Kitchen Roll 2P 70Sht Eco   </t>
  </si>
  <si>
    <t xml:space="preserve"> KT-2P-CE-100 </t>
  </si>
  <si>
    <t xml:space="preserve"> Kitchen Roll 2P 100Sht Eco  </t>
  </si>
  <si>
    <t xml:space="preserve">CONSUMER      
NATURAL/
BAMBOO                      </t>
  </si>
  <si>
    <t xml:space="preserve"> KT-2P-CN-50  </t>
  </si>
  <si>
    <t xml:space="preserve"> Kitchen Roll 2P 50Sht Nat   </t>
  </si>
  <si>
    <t xml:space="preserve"> KT-2P-CN-70  </t>
  </si>
  <si>
    <t xml:space="preserve"> Kitchen Roll 2P 70Sht Nat   </t>
  </si>
  <si>
    <t xml:space="preserve"> KT-2P-CN-100 </t>
  </si>
  <si>
    <t xml:space="preserve"> Kitchen Roll 2P 100Sht Nat  </t>
  </si>
  <si>
    <t xml:space="preserve"> KT-2P-CB-50  </t>
  </si>
  <si>
    <t xml:space="preserve"> Kitchen Roll 2P 50Sht Bamboo</t>
  </si>
  <si>
    <t xml:space="preserve"> KT-2P-CB-70  </t>
  </si>
  <si>
    <t xml:space="preserve"> Kitchen Roll 2P 70Sht Bamboo</t>
  </si>
  <si>
    <t xml:space="preserve">NAPKIN </t>
  </si>
  <si>
    <t xml:space="preserve">1-PLY        
BEVERAGE/
COCKTAIL                    </t>
  </si>
  <si>
    <t xml:space="preserve"> NAP-1P-23-50 </t>
  </si>
  <si>
    <t xml:space="preserve"> Beverage Napkin 1P 23cm 50pc</t>
  </si>
  <si>
    <t>NAP</t>
  </si>
  <si>
    <t>Food</t>
  </si>
  <si>
    <t xml:space="preserve"> NAP-1P-23-100</t>
  </si>
  <si>
    <t xml:space="preserve"> Beverage Napkin 1P 23cm100pc</t>
  </si>
  <si>
    <t xml:space="preserve"> NAP-1P-23-200</t>
  </si>
  <si>
    <t xml:space="preserve"> Beverage Napkin 1P 23cm200pc</t>
  </si>
  <si>
    <t xml:space="preserve"> NAP-1P-24-50 </t>
  </si>
  <si>
    <t xml:space="preserve"> Cocktail Napkin 1P 24cm 50pc</t>
  </si>
  <si>
    <t xml:space="preserve"> NAP-1P-24-100</t>
  </si>
  <si>
    <t xml:space="preserve"> Cocktail Napkin 1P 24cm100pc</t>
  </si>
  <si>
    <t xml:space="preserve"> NAP-1P-25-100</t>
  </si>
  <si>
    <t xml:space="preserve"> Cocktail Napkin 1P 25cm100pc</t>
  </si>
  <si>
    <t xml:space="preserve">1-PLY         
LUNCH (30-33 cm)                  </t>
  </si>
  <si>
    <t xml:space="preserve"> NAP-1P-30-50 </t>
  </si>
  <si>
    <t xml:space="preserve"> Lunch Napkin 1P 30cm 50pc   </t>
  </si>
  <si>
    <t xml:space="preserve"> NAP-1P-30-100</t>
  </si>
  <si>
    <t xml:space="preserve"> Lunch Napkin 1P 30cm 100pc  </t>
  </si>
  <si>
    <t xml:space="preserve"> NAP-1P-30-200</t>
  </si>
  <si>
    <t xml:space="preserve"> Lunch Napkin 1P 30cm 200pc  </t>
  </si>
  <si>
    <t xml:space="preserve"> NAP-1P-33-50 </t>
  </si>
  <si>
    <t xml:space="preserve"> Lunch Napkin 1P 33cm 50pc   </t>
  </si>
  <si>
    <t xml:space="preserve"> NAP-1P-33-100</t>
  </si>
  <si>
    <t xml:space="preserve"> Lunch Napkin 1P 33cm 100pc  </t>
  </si>
  <si>
    <t xml:space="preserve"> NAP-1P-33-200</t>
  </si>
  <si>
    <t xml:space="preserve"> Lunch Napkin 1P 33cm 200pc  </t>
  </si>
  <si>
    <t xml:space="preserve">1-PLY         
DINNER (40 cm)                     </t>
  </si>
  <si>
    <t xml:space="preserve"> NAP-1P-40-50 </t>
  </si>
  <si>
    <t xml:space="preserve"> Dinner Napkin 1P 40cm 50pc  </t>
  </si>
  <si>
    <t xml:space="preserve"> NAP-1P-40-100 </t>
  </si>
  <si>
    <t xml:space="preserve"> Dinner Napkin 1P 40cm 100pc </t>
  </si>
  <si>
    <t xml:space="preserve"> NAP-1P-40-500 </t>
  </si>
  <si>
    <t xml:space="preserve"> Dinner Napkin 1P 40cm 500pc</t>
  </si>
  <si>
    <t>Poly</t>
  </si>
  <si>
    <t xml:space="preserve"> NAP-1P-40-100-COL </t>
  </si>
  <si>
    <t xml:space="preserve"> Dinner Napkin 1P 40cm 100pc</t>
  </si>
  <si>
    <t>Colored</t>
  </si>
  <si>
    <t xml:space="preserve"> NAP-1P-40-100</t>
  </si>
  <si>
    <t xml:space="preserve">2-PLY         
COCKTAIL                     
PREMIUM                     </t>
  </si>
  <si>
    <t xml:space="preserve"> NAP-2P-24-50 </t>
  </si>
  <si>
    <t xml:space="preserve"> Cocktail Napkin 2P 24cm 50pc</t>
  </si>
  <si>
    <t xml:space="preserve"> NAP-2P-24-100</t>
  </si>
  <si>
    <t xml:space="preserve"> Cocktail Napkin 2P 24cm100pc</t>
  </si>
  <si>
    <t xml:space="preserve"> NAP-2P-25-50 </t>
  </si>
  <si>
    <t xml:space="preserve"> Cocktail Napkin 2P 25cm 50pc</t>
  </si>
  <si>
    <t xml:space="preserve"> NAP-2P-25-100</t>
  </si>
  <si>
    <t xml:space="preserve"> Cocktail Napkin 2P 25cm100pc</t>
  </si>
  <si>
    <t xml:space="preserve"> NAP-2P-25-50  </t>
  </si>
  <si>
    <t xml:space="preserve"> EMBOSS_TYPE     </t>
  </si>
  <si>
    <t xml:space="preserve"> MULTIPLIER </t>
  </si>
  <si>
    <t xml:space="preserve"> DESCRIPTION                         </t>
  </si>
  <si>
    <t xml:space="preserve"> None            </t>
  </si>
  <si>
    <t xml:space="preserve"> No embossing                        </t>
  </si>
  <si>
    <t xml:space="preserve"> Light           </t>
  </si>
  <si>
    <t xml:space="preserve"> Simple pattern, high speed          </t>
  </si>
  <si>
    <t xml:space="preserve"> Standard        </t>
  </si>
  <si>
    <t xml:space="preserve"> Typical emboss pattern              </t>
  </si>
  <si>
    <t xml:space="preserve"> Deep            </t>
  </si>
  <si>
    <t xml:space="preserve"> Deep emboss, slower speed           </t>
  </si>
  <si>
    <t xml:space="preserve"> Micro           </t>
  </si>
  <si>
    <t xml:space="preserve"> Micro perf/emboss, specialized      </t>
  </si>
  <si>
    <t xml:space="preserve"> PRINT_TYPE      </t>
  </si>
  <si>
    <t xml:space="preserve"> No              </t>
  </si>
  <si>
    <t xml:space="preserve"> No print on tissue                  </t>
  </si>
  <si>
    <t xml:space="preserve"> Yes             </t>
  </si>
  <si>
    <t xml:space="preserve"> Printed tissue (any) </t>
  </si>
  <si>
    <t xml:space="preserve"> WRAP_TYPE       </t>
  </si>
  <si>
    <t xml:space="preserve"> RATE_KEY   </t>
  </si>
  <si>
    <t xml:space="preserve"> DESCRIPTION                            </t>
  </si>
  <si>
    <t xml:space="preserve"> Printed         </t>
  </si>
  <si>
    <t xml:space="preserve"> Printed    </t>
  </si>
  <si>
    <t xml:space="preserve"> Uses Film_Printed_Rate                 </t>
  </si>
  <si>
    <t xml:space="preserve"> Plain           </t>
  </si>
  <si>
    <t xml:space="preserve"> Plain      </t>
  </si>
  <si>
    <t xml:space="preserve"> Uses Film_Plain_Rate                   </t>
  </si>
  <si>
    <t xml:space="preserve"> Paper           </t>
  </si>
  <si>
    <t xml:space="preserve"> Paper      </t>
  </si>
  <si>
    <t xml:space="preserve"> Uses Paper_Wrap rate                   </t>
  </si>
  <si>
    <t xml:space="preserve"> Poly            </t>
  </si>
  <si>
    <t xml:space="preserve"> Generic poly, use plain rate           </t>
  </si>
  <si>
    <t xml:space="preserve"> None       </t>
  </si>
  <si>
    <t xml:space="preserve"> No individual wrap      </t>
  </si>
  <si>
    <t xml:space="preserve"> CATEGORY        </t>
  </si>
  <si>
    <t xml:space="preserve"> FILM_GRAMS </t>
  </si>
  <si>
    <t xml:space="preserve"> TT              </t>
  </si>
  <si>
    <t xml:space="preserve"> Toilet tissue single roll           </t>
  </si>
  <si>
    <t xml:space="preserve"> KT              </t>
  </si>
  <si>
    <t xml:space="preserve"> Kitchen towel roll                  </t>
  </si>
  <si>
    <t xml:space="preserve"> NAP             </t>
  </si>
  <si>
    <t xml:space="preserve"> Napkin pack     </t>
  </si>
  <si>
    <t xml:space="preserve"> CERTIFICATION   </t>
  </si>
  <si>
    <t xml:space="preserve"> COST_PER_MT</t>
  </si>
  <si>
    <t xml:space="preserve"> No certification                    </t>
  </si>
  <si>
    <t xml:space="preserve"> FSC chain of custody                </t>
  </si>
  <si>
    <t>PEFC</t>
  </si>
  <si>
    <t xml:space="preserve"> PEFC certification                  </t>
  </si>
  <si>
    <t xml:space="preserve"> Food contact compliance             </t>
  </si>
  <si>
    <t>FSC+Food</t>
  </si>
  <si>
    <t xml:space="preserve"> Both FSC and Food contact           </t>
  </si>
  <si>
    <t xml:space="preserve"> DESTINATION        </t>
  </si>
  <si>
    <t xml:space="preserve"> FREIGHT_USD</t>
  </si>
  <si>
    <t xml:space="preserve"> TRANSIT_DAYS</t>
  </si>
  <si>
    <t xml:space="preserve"> CURRENCY    </t>
  </si>
  <si>
    <t xml:space="preserve"> USA - East Coast   </t>
  </si>
  <si>
    <t xml:space="preserve"> USD          </t>
  </si>
  <si>
    <t xml:space="preserve"> USA - West Coast   </t>
  </si>
  <si>
    <t xml:space="preserve"> Canada - Vancouver </t>
  </si>
  <si>
    <t xml:space="preserve"> CAD          </t>
  </si>
  <si>
    <t xml:space="preserve"> Canada - Toronto   </t>
  </si>
  <si>
    <t xml:space="preserve"> Europe - Rotterdam </t>
  </si>
  <si>
    <t xml:space="preserve"> EUR          </t>
  </si>
  <si>
    <t xml:space="preserve"> Europe - Hamburg   </t>
  </si>
  <si>
    <t xml:space="preserve"> UK - Felixstowe    </t>
  </si>
  <si>
    <t xml:space="preserve"> GBP          </t>
  </si>
  <si>
    <t xml:space="preserve"> Middle East - Dubai</t>
  </si>
  <si>
    <t xml:space="preserve"> Australia-Melbourne</t>
  </si>
  <si>
    <t xml:space="preserve"> CORE_ID_MM         </t>
  </si>
  <si>
    <t xml:space="preserve"> COST_INR   </t>
  </si>
  <si>
    <t xml:space="preserve"> DESCRIPTION                     </t>
  </si>
  <si>
    <t xml:space="preserve"> Standard toilet roll core       </t>
  </si>
  <si>
    <t xml:space="preserve"> AFH/industrial core             </t>
  </si>
  <si>
    <t xml:space="preserve"> No core (napkins, folded)    </t>
  </si>
  <si>
    <t>PRODUCT COST CALCULATOR</t>
  </si>
  <si>
    <t xml:space="preserve">SELECT PRODUCT:  </t>
  </si>
  <si>
    <t xml:space="preserve"> PRODUCT SPECIFICATIONS         </t>
  </si>
  <si>
    <t>(Auto-populated)[VlookUp]</t>
  </si>
  <si>
    <t xml:space="preserve"> Product Name                   </t>
  </si>
  <si>
    <t xml:space="preserve"> Category                       </t>
  </si>
  <si>
    <t xml:space="preserve"> Ply                            </t>
  </si>
  <si>
    <t xml:space="preserve"> GSM per Ply                    </t>
  </si>
  <si>
    <t xml:space="preserve"> Total GSM                      </t>
  </si>
  <si>
    <t xml:space="preserve"> Sheet Length (mm)              </t>
  </si>
  <si>
    <t xml:space="preserve"> Sheet Width (mm)               </t>
  </si>
  <si>
    <t xml:space="preserve"> Sheet Area (m²)                </t>
  </si>
  <si>
    <t xml:space="preserve"> Sheets per Unit                </t>
  </si>
  <si>
    <t xml:space="preserve"> Core Weight (g)                </t>
  </si>
  <si>
    <t xml:space="preserve"> Core ID (mm)                   </t>
  </si>
  <si>
    <t xml:space="preserve"> Wet Strength Required          </t>
  </si>
  <si>
    <t xml:space="preserve"> Color                          </t>
  </si>
  <si>
    <t xml:space="preserve"> Emboss Type                    </t>
  </si>
  <si>
    <t xml:space="preserve"> Print                          </t>
  </si>
  <si>
    <t xml:space="preserve"> Wrap Type                      </t>
  </si>
  <si>
    <t xml:space="preserve"> Units per Carton               </t>
  </si>
  <si>
    <t xml:space="preserve"> Cartons per Pallet             </t>
  </si>
  <si>
    <t xml:space="preserve"> Pallets per 40HC               </t>
  </si>
  <si>
    <t xml:space="preserve"> Matched Reel Code              </t>
  </si>
  <si>
    <t xml:space="preserve"> Certification                  </t>
  </si>
  <si>
    <t xml:space="preserve">PARENT REEL DATA               </t>
  </si>
  <si>
    <t xml:space="preserve"> Reel Code                      </t>
  </si>
  <si>
    <t xml:space="preserve"> Reel Price (INR/MT)            </t>
  </si>
  <si>
    <t xml:space="preserve"> Reel Price (USD/MT)            </t>
  </si>
  <si>
    <t xml:space="preserve"> FIBER MASS CALCULATION         </t>
  </si>
  <si>
    <t xml:space="preserve"> Value                                      </t>
  </si>
  <si>
    <t xml:space="preserve"> Formula/Notes                              </t>
  </si>
  <si>
    <t xml:space="preserve"> Gross Fiber per Unit (g)       </t>
  </si>
  <si>
    <t xml:space="preserve"> =Ply × GSM × Area × Sheets                 </t>
  </si>
  <si>
    <t xml:space="preserve"> Loss Factor                    </t>
  </si>
  <si>
    <t xml:space="preserve"> From 'Input Costs'                           </t>
  </si>
  <si>
    <t xml:space="preserve"> Net Fiber Needed (g)           </t>
  </si>
  <si>
    <t xml:space="preserve"> Gross × Loss Factor                        </t>
  </si>
  <si>
    <t xml:space="preserve"> From product specs                         </t>
  </si>
  <si>
    <t xml:space="preserve"> Total Unit Mass (g)            </t>
  </si>
  <si>
    <t xml:space="preserve"> Fiber + Core                               </t>
  </si>
  <si>
    <t xml:space="preserve"> Units per MT                   </t>
  </si>
  <si>
    <t xml:space="preserve"> How many units from 1 MT</t>
  </si>
  <si>
    <t xml:space="preserve">COST CALCULATION               </t>
  </si>
  <si>
    <t xml:space="preserve"> INR per Unit                                                       </t>
  </si>
  <si>
    <t xml:space="preserve"> USD per Unit                        </t>
  </si>
  <si>
    <t xml:space="preserve">                                                                    </t>
  </si>
  <si>
    <t xml:space="preserve">                                     </t>
  </si>
  <si>
    <t xml:space="preserve"> 1. REEL/FIBER COST             </t>
  </si>
  <si>
    <t xml:space="preserve">    Reel Price (INR/MT)         </t>
  </si>
  <si>
    <t xml:space="preserve"> From Reel Lookup (Row 38)           </t>
  </si>
  <si>
    <t xml:space="preserve">    Fiber cost per unit         </t>
  </si>
  <si>
    <t xml:space="preserve"> 2. CORE COST                   </t>
  </si>
  <si>
    <t xml:space="preserve">    Core cost per unit          </t>
  </si>
  <si>
    <t xml:space="preserve"> 3. CONVERTING COST             </t>
  </si>
  <si>
    <t xml:space="preserve">    Base converting per MT      </t>
  </si>
  <si>
    <t xml:space="preserve"> From 'Input Costs'                    </t>
  </si>
  <si>
    <t xml:space="preserve">    Emboss multiplier           </t>
  </si>
  <si>
    <t xml:space="preserve"> From LOOKUP_Tables                  </t>
  </si>
  <si>
    <t xml:space="preserve">    Print multiplier            </t>
  </si>
  <si>
    <t xml:space="preserve">    Combined multiplier         </t>
  </si>
  <si>
    <t xml:space="preserve"> Emboss × Print                      </t>
  </si>
  <si>
    <t xml:space="preserve">    Adjusted converting/MT      </t>
  </si>
  <si>
    <t xml:space="preserve"> Base × Combined                     </t>
  </si>
  <si>
    <t xml:space="preserve">    Converting per unit         </t>
  </si>
  <si>
    <t xml:space="preserve"> 4. PACKAGING COST              </t>
  </si>
  <si>
    <t xml:space="preserve">    Film rate (INR/kg)          </t>
  </si>
  <si>
    <t xml:space="preserve"> Based on wrap type             </t>
  </si>
  <si>
    <t xml:space="preserve">    Film grams per unit         </t>
  </si>
  <si>
    <t xml:space="preserve"> By category                         </t>
  </si>
  <si>
    <t xml:space="preserve">    Film cost per unit          </t>
  </si>
  <si>
    <t xml:space="preserve">    Carton cost per unit        </t>
  </si>
  <si>
    <t xml:space="preserve">    Tape &amp; Label per unit       </t>
  </si>
  <si>
    <t xml:space="preserve">    Pallet cost per unit        </t>
  </si>
  <si>
    <t xml:space="preserve">    Total packaging per unit    </t>
  </si>
  <si>
    <t xml:space="preserve"> 5. OVERHEAD COST               </t>
  </si>
  <si>
    <t xml:space="preserve">    Overhead per MT             </t>
  </si>
  <si>
    <t xml:space="preserve">    Overhead per unit           </t>
  </si>
  <si>
    <t xml:space="preserve"> 6. CERTIFICATION COST          </t>
  </si>
  <si>
    <t xml:space="preserve">    Certification per MT        </t>
  </si>
  <si>
    <t xml:space="preserve">    Certification per unit      </t>
  </si>
  <si>
    <t xml:space="preserve"> EX-WORKS COST SUMMARY          </t>
  </si>
  <si>
    <t xml:space="preserve"> INR            </t>
  </si>
  <si>
    <t xml:space="preserve"> USD            </t>
  </si>
  <si>
    <t xml:space="preserve"> % of Cost      </t>
  </si>
  <si>
    <t xml:space="preserve"> Fiber/Reel Cost                </t>
  </si>
  <si>
    <t xml:space="preserve"> Core Cost                      </t>
  </si>
  <si>
    <t xml:space="preserve"> Converting Cost                </t>
  </si>
  <si>
    <t xml:space="preserve"> Packaging Cost                 </t>
  </si>
  <si>
    <t xml:space="preserve"> Overhead Cost                  </t>
  </si>
  <si>
    <t xml:space="preserve"> Certification Cost             </t>
  </si>
  <si>
    <t xml:space="preserve"> TOTAL EX-WORKS COST            </t>
  </si>
  <si>
    <t xml:space="preserve"> ALTERNATE UNITS                </t>
  </si>
  <si>
    <t xml:space="preserve"> Cost per Carton                </t>
  </si>
  <si>
    <t xml:space="preserve"> Cost per Pallet                </t>
  </si>
  <si>
    <t xml:space="preserve"> Cost per 40HC Container        </t>
  </si>
  <si>
    <t xml:space="preserve"> Cost per MT                    </t>
  </si>
  <si>
    <t xml:space="preserve"> PRICING WITH MARGIN            </t>
  </si>
  <si>
    <t xml:space="preserve"> At 10% Margin                  </t>
  </si>
  <si>
    <t xml:space="preserve"> At 15% Margin                  </t>
  </si>
  <si>
    <t xml:space="preserve"> At 20% Margin                  </t>
  </si>
  <si>
    <t xml:space="preserve"> At 25% Margin                  </t>
  </si>
  <si>
    <t xml:space="preserve"> EXPORT LANDED COST CALCULATOR  </t>
  </si>
  <si>
    <t xml:space="preserve">                                                                               </t>
  </si>
  <si>
    <t xml:space="preserve"> INPUTS                         </t>
  </si>
  <si>
    <t xml:space="preserve"> Product Code                   </t>
  </si>
  <si>
    <t xml:space="preserve"> Destination                    </t>
  </si>
  <si>
    <t xml:space="preserve"> Quantity (units)               </t>
  </si>
  <si>
    <t xml:space="preserve"> Incoterm                     </t>
  </si>
  <si>
    <t>FOB</t>
  </si>
  <si>
    <t xml:space="preserve"> SHIPMENT CALCULATION           </t>
  </si>
  <si>
    <t xml:space="preserve"> Units ordered                  </t>
  </si>
  <si>
    <t xml:space="preserve"> From input above                    </t>
  </si>
  <si>
    <t xml:space="preserve"> Units per carton               </t>
  </si>
  <si>
    <t xml:space="preserve"> From CALC_Product                   </t>
  </si>
  <si>
    <t xml:space="preserve"> Cartons needed                 </t>
  </si>
  <si>
    <t xml:space="preserve"> Rounded up                          </t>
  </si>
  <si>
    <t xml:space="preserve"> Cartons per pallet             </t>
  </si>
  <si>
    <t xml:space="preserve"> Pallets needed                 </t>
  </si>
  <si>
    <t xml:space="preserve"> Containers needed              </t>
  </si>
  <si>
    <t xml:space="preserve"> Container utilization          </t>
  </si>
  <si>
    <t xml:space="preserve"> Format as %                         </t>
  </si>
  <si>
    <t xml:space="preserve"> Actual units shipped           </t>
  </si>
  <si>
    <t xml:space="preserve"> May differ due to rounding          </t>
  </si>
  <si>
    <t xml:space="preserve"> Excess units                   </t>
  </si>
  <si>
    <t xml:space="preserve"> Extra units in shipment             </t>
  </si>
  <si>
    <t xml:space="preserve"> COST BUILDUP                   </t>
  </si>
  <si>
    <t xml:space="preserve"> INR                                                                </t>
  </si>
  <si>
    <t xml:space="preserve"> USD                                    </t>
  </si>
  <si>
    <t xml:space="preserve">                                        </t>
  </si>
  <si>
    <t xml:space="preserve"> EX-WORKS VALUE                 </t>
  </si>
  <si>
    <t xml:space="preserve"> Ex-works cost per unit         </t>
  </si>
  <si>
    <t xml:space="preserve"> Total ex-works value           </t>
  </si>
  <si>
    <t xml:space="preserve"> LOCAL LOGISTICS                </t>
  </si>
  <si>
    <t xml:space="preserve"> Factory to port                </t>
  </si>
  <si>
    <t xml:space="preserve"> Port handling                  </t>
  </si>
  <si>
    <t xml:space="preserve"> Documentation                  </t>
  </si>
  <si>
    <t xml:space="preserve"> Export customs                 </t>
  </si>
  <si>
    <t xml:space="preserve"> Certificates                   </t>
  </si>
  <si>
    <t xml:space="preserve"> Total local logistics          </t>
  </si>
  <si>
    <t xml:space="preserve"> FOB VALUE                      </t>
  </si>
  <si>
    <t xml:space="preserve"> INTERNATIONAL FREIGHT          </t>
  </si>
  <si>
    <t xml:space="preserve"> Freight rate per 40HC (USD)    </t>
  </si>
  <si>
    <t xml:space="preserve"> (Same as B39)                          </t>
  </si>
  <si>
    <t xml:space="preserve"> Freight rate per 40HC (INR)    </t>
  </si>
  <si>
    <t xml:space="preserve"> Total ocean freight            </t>
  </si>
  <si>
    <t xml:space="preserve"> Marine insurance               </t>
  </si>
  <si>
    <t xml:space="preserve"> Total freight &amp; insurance      </t>
  </si>
  <si>
    <t xml:space="preserve"> CIF VALUE                      </t>
  </si>
  <si>
    <t xml:space="preserve"> DESTINATION COSTS (if DAP)     </t>
  </si>
  <si>
    <t xml:space="preserve"> Import duty estimate           </t>
  </si>
  <si>
    <t xml:space="preserve"> Customs clearance              </t>
  </si>
  <si>
    <t xml:space="preserve"> Destination delivery           </t>
  </si>
  <si>
    <t xml:space="preserve"> Total destination costs        </t>
  </si>
  <si>
    <t xml:space="preserve"> DAP VALUE                      </t>
  </si>
  <si>
    <t xml:space="preserve"> LANDED COST SUMMARY            </t>
  </si>
  <si>
    <t xml:space="preserve"> Selected Incoterm              </t>
  </si>
  <si>
    <t xml:space="preserve"> Landed Value (total)           </t>
  </si>
  <si>
    <t xml:space="preserve"> COST BREAKDOWN                 </t>
  </si>
  <si>
    <t xml:space="preserve"> Per unit                       </t>
  </si>
  <si>
    <t xml:space="preserve"> Per carton                     </t>
  </si>
  <si>
    <t xml:space="preserve"> Per pallet                     </t>
  </si>
  <si>
    <t xml:space="preserve"> Per container                  </t>
  </si>
  <si>
    <t xml:space="preserve"> USD per Unit                           </t>
  </si>
  <si>
    <t xml:space="preserve"> CARTON PRICING WITH MARGIN     </t>
  </si>
  <si>
    <t xml:space="preserve"> INR per Carton                                                     </t>
  </si>
  <si>
    <t xml:space="preserve"> USD per Carton                         </t>
  </si>
  <si>
    <t xml:space="preserve"> PALLET PRICING WITH MARGIN     </t>
  </si>
  <si>
    <t xml:space="preserve"> INR per Pallet                                                     </t>
  </si>
  <si>
    <t xml:space="preserve"> USD per Pallet                         </t>
  </si>
  <si>
    <t xml:space="preserve"> CONTAINER PRICING WITH MARGIN  </t>
  </si>
  <si>
    <t xml:space="preserve"> INR per 40HC                                                       </t>
  </si>
  <si>
    <t xml:space="preserve"> USD per 40HC                           </t>
  </si>
  <si>
    <t xml:space="preserve"> SHIPMENT DETAILS               </t>
  </si>
  <si>
    <t xml:space="preserve"> Transit time (days)            </t>
  </si>
  <si>
    <t xml:space="preserve"> From Destinations table             </t>
  </si>
  <si>
    <t xml:space="preserve"> Estimated departure            </t>
  </si>
  <si>
    <t xml:space="preserve"> Assumes 7 days to prepare           </t>
  </si>
  <si>
    <t xml:space="preserve"> Estimated arrival              </t>
  </si>
  <si>
    <t xml:space="preserve"> Departure + Transit                 </t>
  </si>
  <si>
    <t xml:space="preserve"> WEIGHT &amp; VOLUME                </t>
  </si>
  <si>
    <t xml:space="preserve"> Unit weight (g)                </t>
  </si>
  <si>
    <t xml:space="preserve"> Total weight (kg)              </t>
  </si>
  <si>
    <t xml:space="preserve"> Units × Weight ÷ 1000               </t>
  </si>
  <si>
    <t xml:space="preserve"> Total weight (MT)              </t>
  </si>
  <si>
    <t xml:space="preserve"> Kg ÷ 1000                           </t>
  </si>
  <si>
    <t xml:space="preserve"> Weight per container (MT)      </t>
  </si>
  <si>
    <t xml:space="preserve"> Total ÷ Containers                  </t>
  </si>
  <si>
    <t xml:space="preserve"> COST ANALYSIS                  </t>
  </si>
  <si>
    <t xml:space="preserve"> Ex-works % of total            </t>
  </si>
  <si>
    <t xml:space="preserve"> Local logistics % of total     </t>
  </si>
  <si>
    <t xml:space="preserve"> Freight % of total             </t>
  </si>
  <si>
    <t xml:space="preserve"> Freight cost per MT            </t>
  </si>
  <si>
    <t xml:space="preserve"> INR per MT shipped                  </t>
  </si>
  <si>
    <t xml:space="preserve"> Freight cost per MT (USD)      </t>
  </si>
  <si>
    <t xml:space="preserve"> USD per MT shipped                  </t>
  </si>
  <si>
    <t xml:space="preserve"> COMPANY HEADER</t>
  </si>
  <si>
    <t xml:space="preserve"> [YOUR COMPANY NAME]             </t>
  </si>
  <si>
    <t xml:space="preserve">                                                                           </t>
  </si>
  <si>
    <t xml:space="preserve">                               </t>
  </si>
  <si>
    <t xml:space="preserve"> [Address Line 1]                </t>
  </si>
  <si>
    <t xml:space="preserve"> [City, State, PIN Code]         </t>
  </si>
  <si>
    <t xml:space="preserve"> [Phone: +91-XXXX-XXXXXX]        </t>
  </si>
  <si>
    <t xml:space="preserve"> [Email: sales@company.com]      </t>
  </si>
  <si>
    <t xml:space="preserve"> QUOTATION                       </t>
  </si>
  <si>
    <t xml:space="preserve"> Quote Date:                     </t>
  </si>
  <si>
    <t xml:space="preserve"> Valid Until:                    </t>
  </si>
  <si>
    <t xml:space="preserve"> Quote Reference:                </t>
  </si>
  <si>
    <t xml:space="preserve"> CUSTOMER DETAILS                </t>
  </si>
  <si>
    <t xml:space="preserve"> Customer Name:                  </t>
  </si>
  <si>
    <t xml:space="preserve"> [Type Customer Name Here]                                                 </t>
  </si>
  <si>
    <t xml:space="preserve"> Contact Person:                 </t>
  </si>
  <si>
    <t xml:space="preserve"> [Type Contact Person Here]                                                </t>
  </si>
  <si>
    <t xml:space="preserve"> Email:                          </t>
  </si>
  <si>
    <t xml:space="preserve"> [Type Email Here]                                                         </t>
  </si>
  <si>
    <t xml:space="preserve"> Phone:                          </t>
  </si>
  <si>
    <t xml:space="preserve"> [Type Phone Here]                                                         </t>
  </si>
  <si>
    <t xml:space="preserve"> Destination:                    </t>
  </si>
  <si>
    <t xml:space="preserve"> PRODUCT DETAILS                 </t>
  </si>
  <si>
    <t xml:space="preserve"> Product Code:                   </t>
  </si>
  <si>
    <t xml:space="preserve"> Product Description:            </t>
  </si>
  <si>
    <t xml:space="preserve"> Ply:                            </t>
  </si>
  <si>
    <t xml:space="preserve"> GSM (Total):                    </t>
  </si>
  <si>
    <t xml:space="preserve"> Specifications:                 </t>
  </si>
  <si>
    <t xml:space="preserve"> Color:                          </t>
  </si>
  <si>
    <t xml:space="preserve"> Sheets per Unit:                </t>
  </si>
  <si>
    <t xml:space="preserve"> Emboss:                         </t>
  </si>
  <si>
    <t xml:space="preserve"> Certification:                  </t>
  </si>
  <si>
    <t xml:space="preserve"> PACKAGING DETAILS               </t>
  </si>
  <si>
    <t xml:space="preserve"> Units per Carton:               </t>
  </si>
  <si>
    <t xml:space="preserve"> Cartons per Pallet:             </t>
  </si>
  <si>
    <t xml:space="preserve"> Pallets per 40'HC:              </t>
  </si>
  <si>
    <t xml:space="preserve"> Units per Pallet:               </t>
  </si>
  <si>
    <t xml:space="preserve"> Units per Container:            </t>
  </si>
  <si>
    <t xml:space="preserve"> ORDER QUANTITY                  </t>
  </si>
  <si>
    <t xml:space="preserve"> Units Ordered:                  </t>
  </si>
  <si>
    <t xml:space="preserve"> Actual Units (shipped):         </t>
  </si>
  <si>
    <t xml:space="preserve"> Cartons:                        </t>
  </si>
  <si>
    <t xml:space="preserve"> Pallets:                        </t>
  </si>
  <si>
    <t xml:space="preserve"> 40'HC Containers:               </t>
  </si>
  <si>
    <t xml:space="preserve"> Container Utilization:          </t>
  </si>
  <si>
    <t xml:space="preserve"> Format as %                   </t>
  </si>
  <si>
    <t xml:space="preserve"> PRICING                         </t>
  </si>
  <si>
    <t xml:space="preserve"> Incoterm:                       </t>
  </si>
  <si>
    <t xml:space="preserve">                                 </t>
  </si>
  <si>
    <t xml:space="preserve"> Per Unit                                                                  </t>
  </si>
  <si>
    <t xml:space="preserve"> Per Carton                    </t>
  </si>
  <si>
    <t xml:space="preserve"> Per Pallet                    </t>
  </si>
  <si>
    <t xml:space="preserve"> Cost (USD):                     </t>
  </si>
  <si>
    <t xml:space="preserve"> Selling Price (USD):            </t>
  </si>
  <si>
    <t xml:space="preserve">   At 15% Margin                 </t>
  </si>
  <si>
    <t xml:space="preserve">   At 20% Margin                 </t>
  </si>
  <si>
    <t xml:space="preserve">   At 25% Margin                 </t>
  </si>
  <si>
    <t xml:space="preserve"> SELECTED PRICE (20% Margin):    </t>
  </si>
  <si>
    <t xml:space="preserve"> ORDER VALUE SUMMARY             </t>
  </si>
  <si>
    <t xml:space="preserve"> USD                                                                       </t>
  </si>
  <si>
    <t xml:space="preserve"> INR                           </t>
  </si>
  <si>
    <t xml:space="preserve"> Total Order Value:              </t>
  </si>
  <si>
    <t xml:space="preserve">                           </t>
  </si>
  <si>
    <t xml:space="preserve"> Per Container Value:            </t>
  </si>
  <si>
    <t xml:space="preserve"> SHIPMENT DETAILS                </t>
  </si>
  <si>
    <t xml:space="preserve"> Estimated Transit Time:         </t>
  </si>
  <si>
    <t xml:space="preserve"> Estimated Weight (MT):          </t>
  </si>
  <si>
    <t xml:space="preserve"> TERMS &amp; CONDITIONS              </t>
  </si>
  <si>
    <t xml:space="preserve"> Payment Terms:                  </t>
  </si>
  <si>
    <t xml:space="preserve"> 30% Advance, 70% Against B/L Copy                                         </t>
  </si>
  <si>
    <t xml:space="preserve"> Delivery Time:                  </t>
  </si>
  <si>
    <t xml:space="preserve"> 4-6 weeks from order confirmation                                         </t>
  </si>
  <si>
    <t xml:space="preserve"> Validity:                       </t>
  </si>
  <si>
    <t xml:space="preserve"> ="Prices valid until "&amp;TEXT(B12,"DD-MMM-YYYY")                            </t>
  </si>
  <si>
    <t xml:space="preserve"> Minimum Order:                  </t>
  </si>
  <si>
    <t xml:space="preserve"> 1 x 40'HC Container                                                       </t>
  </si>
  <si>
    <t xml:space="preserve"> NOTES                           </t>
  </si>
  <si>
    <t xml:space="preserve"> Prices are subject to change based on raw material fluctuations           </t>
  </si>
  <si>
    <t xml:space="preserve"> Delivery dates are estimates and subject to vessel availability           </t>
  </si>
  <si>
    <t xml:space="preserve"> Custom packaging/branding available at additional cost                    </t>
  </si>
  <si>
    <t xml:space="preserve"> Quality certifications available upon request                             </t>
  </si>
  <si>
    <t xml:space="preserve"> For queries, please contact:    </t>
  </si>
  <si>
    <t xml:space="preserve"> Name: [Sales Contact Name]      </t>
  </si>
  <si>
    <t xml:space="preserve"> Email: [sales@company.com]                                                </t>
  </si>
  <si>
    <t xml:space="preserve"> Phone: [+91-XXXX-XXXXXX]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</si>
</sst>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Spectral"/>
    </font>
    <font/>
    <font>
      <sz val="11.0"/>
      <color theme="1"/>
      <name val="Spectral"/>
    </font>
    <font>
      <b/>
      <sz val="11.0"/>
      <color rgb="FF24292E"/>
      <name val="Spectral"/>
    </font>
    <font>
      <sz val="11.0"/>
      <color rgb="FF24292E"/>
      <name val="Spectral"/>
    </font>
    <font>
      <b/>
      <i/>
      <sz val="11.0"/>
      <color theme="1"/>
      <name val="Spectral"/>
    </font>
    <font>
      <color theme="1"/>
      <name val="Spectral"/>
    </font>
    <font>
      <b/>
      <sz val="11.0"/>
      <color rgb="FF000000"/>
      <name val="Spectral"/>
    </font>
    <font>
      <sz val="11.0"/>
      <color rgb="FF000000"/>
      <name val="Spectr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Border="1" applyFont="1"/>
    <xf borderId="4" fillId="0" fontId="3" numFmtId="14" xfId="0" applyBorder="1" applyFont="1" applyNumberFormat="1"/>
    <xf borderId="0" fillId="0" fontId="4" numFmtId="0" xfId="0" applyAlignment="1" applyFont="1">
      <alignment vertical="center"/>
    </xf>
    <xf borderId="4" fillId="0" fontId="5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0" fontId="1" numFmtId="0" xfId="0" applyBorder="1" applyFont="1"/>
    <xf borderId="0" fillId="0" fontId="5" numFmtId="0" xfId="0" applyAlignment="1" applyFont="1">
      <alignment vertical="center"/>
    </xf>
    <xf borderId="4" fillId="0" fontId="3" numFmtId="10" xfId="0" applyBorder="1" applyFont="1" applyNumberFormat="1"/>
    <xf borderId="0" fillId="0" fontId="1" numFmtId="0" xfId="0" applyFont="1"/>
    <xf borderId="4" fillId="0" fontId="3" numFmtId="9" xfId="0" applyBorder="1" applyFont="1" applyNumberFormat="1"/>
    <xf borderId="5" fillId="2" fontId="1" numFmtId="0" xfId="0" applyBorder="1" applyFont="1"/>
    <xf borderId="6" fillId="0" fontId="1" numFmtId="0" xfId="0" applyAlignment="1" applyBorder="1" applyFont="1">
      <alignment horizontal="center" shrinkToFit="0" textRotation="90" wrapText="1"/>
    </xf>
    <xf borderId="7" fillId="0" fontId="3" numFmtId="0" xfId="0" applyBorder="1" applyFont="1"/>
    <xf borderId="8" fillId="0" fontId="3" numFmtId="0" xfId="0" applyBorder="1" applyFont="1"/>
    <xf borderId="8" fillId="0" fontId="3" numFmtId="9" xfId="0" applyBorder="1" applyFont="1" applyNumberFormat="1"/>
    <xf borderId="8" fillId="0" fontId="3" numFmtId="14" xfId="0" applyBorder="1" applyFont="1" applyNumberFormat="1"/>
    <xf borderId="9" fillId="0" fontId="3" numFmtId="0" xfId="0" applyBorder="1" applyFont="1"/>
    <xf borderId="10" fillId="0" fontId="2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2" numFmtId="0" xfId="0" applyBorder="1" applyFont="1"/>
    <xf borderId="6" fillId="0" fontId="1" numFmtId="0" xfId="0" applyAlignment="1" applyBorder="1" applyFont="1">
      <alignment horizontal="center" textRotation="90"/>
    </xf>
    <xf borderId="14" fillId="0" fontId="1" numFmtId="0" xfId="0" applyAlignment="1" applyBorder="1" applyFont="1">
      <alignment horizontal="center" shrinkToFit="0" textRotation="90" wrapText="1"/>
    </xf>
    <xf borderId="15" fillId="0" fontId="2" numFmtId="0" xfId="0" applyBorder="1" applyFont="1"/>
    <xf borderId="16" fillId="0" fontId="2" numFmtId="0" xfId="0" applyBorder="1" applyFont="1"/>
    <xf borderId="17" fillId="0" fontId="3" numFmtId="0" xfId="0" applyBorder="1" applyFont="1"/>
    <xf borderId="18" fillId="0" fontId="3" numFmtId="0" xfId="0" applyBorder="1" applyFont="1"/>
    <xf borderId="18" fillId="0" fontId="3" numFmtId="9" xfId="0" applyBorder="1" applyFont="1" applyNumberFormat="1"/>
    <xf borderId="18" fillId="0" fontId="3" numFmtId="14" xfId="0" applyBorder="1" applyFont="1" applyNumberFormat="1"/>
    <xf borderId="19" fillId="0" fontId="3" numFmtId="0" xfId="0" applyBorder="1" applyFont="1"/>
    <xf borderId="0" fillId="0" fontId="3" numFmtId="14" xfId="0" applyFont="1" applyNumberFormat="1"/>
    <xf borderId="0" fillId="2" fontId="1" numFmtId="0" xfId="0" applyFont="1"/>
    <xf borderId="5" fillId="3" fontId="1" numFmtId="0" xfId="0" applyBorder="1" applyFill="1" applyFont="1"/>
    <xf borderId="15" fillId="0" fontId="3" numFmtId="0" xfId="0" applyAlignment="1" applyBorder="1" applyFont="1">
      <alignment horizontal="center"/>
    </xf>
    <xf borderId="20" fillId="0" fontId="2" numFmtId="0" xfId="0" applyBorder="1" applyFont="1"/>
    <xf borderId="6" fillId="0" fontId="4" numFmtId="0" xfId="0" applyAlignment="1" applyBorder="1" applyFont="1">
      <alignment horizontal="center" shrinkToFit="0" textRotation="90" wrapText="1"/>
    </xf>
    <xf borderId="4" fillId="4" fontId="3" numFmtId="0" xfId="0" applyBorder="1" applyFill="1" applyFont="1"/>
    <xf borderId="5" fillId="3" fontId="4" numFmtId="0" xfId="0" applyAlignment="1" applyBorder="1" applyFont="1">
      <alignment vertical="center"/>
    </xf>
    <xf borderId="0" fillId="0" fontId="6" numFmtId="0" xfId="0" applyFont="1"/>
    <xf borderId="0" fillId="0" fontId="1" numFmtId="0" xfId="0" applyAlignment="1" applyFont="1">
      <alignment vertical="center"/>
    </xf>
    <xf borderId="0" fillId="0" fontId="7" numFmtId="0" xfId="0" applyFont="1"/>
    <xf borderId="4" fillId="0" fontId="7" numFmtId="0" xfId="0" applyBorder="1" applyFont="1"/>
    <xf borderId="1" fillId="2" fontId="4" numFmtId="0" xfId="0" applyAlignment="1" applyBorder="1" applyFont="1">
      <alignment horizontal="center" vertical="center"/>
    </xf>
    <xf borderId="3" fillId="5" fontId="3" numFmtId="0" xfId="0" applyBorder="1" applyFill="1" applyFont="1"/>
    <xf borderId="4" fillId="0" fontId="3" numFmtId="2" xfId="0" applyBorder="1" applyFont="1" applyNumberFormat="1"/>
    <xf borderId="4" fillId="0" fontId="5" numFmtId="2" xfId="0" applyAlignment="1" applyBorder="1" applyFont="1" applyNumberFormat="1">
      <alignment vertical="center"/>
    </xf>
    <xf borderId="0" fillId="0" fontId="3" numFmtId="2" xfId="0" applyFont="1" applyNumberFormat="1"/>
    <xf borderId="4" fillId="0" fontId="3" numFmtId="11" xfId="0" applyBorder="1" applyFont="1" applyNumberFormat="1"/>
    <xf borderId="21" fillId="0" fontId="1" numFmtId="0" xfId="0" applyBorder="1" applyFont="1"/>
    <xf borderId="11" fillId="0" fontId="2" numFmtId="0" xfId="0" applyBorder="1" applyFont="1"/>
    <xf borderId="5" fillId="5" fontId="3" numFmtId="0" xfId="0" applyBorder="1" applyFont="1"/>
    <xf borderId="22" fillId="0" fontId="3" numFmtId="0" xfId="0" applyBorder="1" applyFont="1"/>
    <xf borderId="23" fillId="0" fontId="2" numFmtId="0" xfId="0" applyBorder="1" applyFont="1"/>
    <xf borderId="21" fillId="0" fontId="3" numFmtId="0" xfId="0" applyBorder="1" applyFont="1"/>
    <xf borderId="1" fillId="0" fontId="1" numFmtId="0" xfId="0" applyAlignment="1" applyBorder="1" applyFont="1">
      <alignment horizontal="center"/>
    </xf>
    <xf borderId="14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5" fillId="0" fontId="3" numFmtId="0" xfId="0" applyBorder="1" applyFont="1"/>
    <xf borderId="20" fillId="0" fontId="3" numFmtId="0" xfId="0" applyBorder="1" applyFont="1"/>
    <xf borderId="16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4" fillId="0" fontId="3" numFmtId="14" xfId="0" applyBorder="1" applyFont="1" applyNumberFormat="1"/>
    <xf borderId="26" fillId="0" fontId="3" numFmtId="9" xfId="0" applyBorder="1" applyFont="1" applyNumberFormat="1"/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88"/>
    <col customWidth="1" min="2" max="2" width="9.38"/>
    <col customWidth="1" min="3" max="6" width="8.88"/>
    <col customWidth="1" min="7" max="26" width="8.63"/>
  </cols>
  <sheetData>
    <row r="1" ht="14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</v>
      </c>
      <c r="B2" s="6">
        <f>TODAY()</f>
        <v>46062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2</v>
      </c>
      <c r="B3" s="5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7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5</v>
      </c>
      <c r="B6" s="8">
        <v>91.59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 t="s">
        <v>6</v>
      </c>
      <c r="B7" s="8">
        <v>108.44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" t="s">
        <v>7</v>
      </c>
      <c r="B8" s="5">
        <v>66.88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8" t="s">
        <v>8</v>
      </c>
      <c r="B9" s="5">
        <v>125.06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9" t="s">
        <v>9</v>
      </c>
      <c r="B11" s="9" t="s">
        <v>10</v>
      </c>
      <c r="C11" s="9" t="s">
        <v>11</v>
      </c>
      <c r="D11" s="9" t="s">
        <v>12</v>
      </c>
      <c r="E11" s="9" t="s">
        <v>13</v>
      </c>
      <c r="F11" s="9" t="s">
        <v>14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" t="s">
        <v>15</v>
      </c>
      <c r="B12" s="5">
        <v>6500.0</v>
      </c>
      <c r="C12" s="5">
        <f t="shared" ref="C12:C18" si="1">B12/$B$6</f>
        <v>70.96844634</v>
      </c>
      <c r="D12" s="5">
        <f t="shared" ref="D12:D18" si="2">B12/$B$7</f>
        <v>59.94098119</v>
      </c>
      <c r="E12" s="5">
        <f t="shared" ref="E12:E18" si="3">B12/$B$8</f>
        <v>97.18899522</v>
      </c>
      <c r="F12" s="5">
        <f t="shared" ref="F12:F18" si="4">B12/$B$9</f>
        <v>51.97505198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 t="s">
        <v>16</v>
      </c>
      <c r="B13" s="5">
        <v>2500.0</v>
      </c>
      <c r="C13" s="5">
        <f t="shared" si="1"/>
        <v>27.29555628</v>
      </c>
      <c r="D13" s="5">
        <f t="shared" si="2"/>
        <v>23.05422353</v>
      </c>
      <c r="E13" s="5">
        <f t="shared" si="3"/>
        <v>37.38038278</v>
      </c>
      <c r="F13" s="5">
        <f t="shared" si="4"/>
        <v>19.99040461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 t="s">
        <v>17</v>
      </c>
      <c r="B14" s="5">
        <v>3500.0</v>
      </c>
      <c r="C14" s="5">
        <f t="shared" si="1"/>
        <v>38.2137788</v>
      </c>
      <c r="D14" s="5">
        <f t="shared" si="2"/>
        <v>32.27591295</v>
      </c>
      <c r="E14" s="5">
        <f t="shared" si="3"/>
        <v>52.33253589</v>
      </c>
      <c r="F14" s="5">
        <f t="shared" si="4"/>
        <v>27.98656645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" t="s">
        <v>18</v>
      </c>
      <c r="B15" s="5">
        <v>800.0</v>
      </c>
      <c r="C15" s="5">
        <f t="shared" si="1"/>
        <v>8.734578011</v>
      </c>
      <c r="D15" s="5">
        <f t="shared" si="2"/>
        <v>7.377351531</v>
      </c>
      <c r="E15" s="5">
        <f t="shared" si="3"/>
        <v>11.96172249</v>
      </c>
      <c r="F15" s="5">
        <f t="shared" si="4"/>
        <v>6.396929474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 t="s">
        <v>19</v>
      </c>
      <c r="B16" s="5">
        <v>2500.0</v>
      </c>
      <c r="C16" s="5">
        <f t="shared" si="1"/>
        <v>27.29555628</v>
      </c>
      <c r="D16" s="5">
        <f t="shared" si="2"/>
        <v>23.05422353</v>
      </c>
      <c r="E16" s="5">
        <f t="shared" si="3"/>
        <v>37.38038278</v>
      </c>
      <c r="F16" s="5">
        <f t="shared" si="4"/>
        <v>19.99040461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 t="s">
        <v>20</v>
      </c>
      <c r="B17" s="5">
        <v>1000.0</v>
      </c>
      <c r="C17" s="5">
        <f t="shared" si="1"/>
        <v>10.91822251</v>
      </c>
      <c r="D17" s="5">
        <f t="shared" si="2"/>
        <v>9.221689414</v>
      </c>
      <c r="E17" s="5">
        <f t="shared" si="3"/>
        <v>14.95215311</v>
      </c>
      <c r="F17" s="5">
        <f t="shared" si="4"/>
        <v>7.996161842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 t="s">
        <v>21</v>
      </c>
      <c r="B18" s="5">
        <f>SUM(B12:B17)</f>
        <v>16800</v>
      </c>
      <c r="C18" s="5">
        <f t="shared" si="1"/>
        <v>183.4261382</v>
      </c>
      <c r="D18" s="5">
        <f t="shared" si="2"/>
        <v>154.9243821</v>
      </c>
      <c r="E18" s="5">
        <f t="shared" si="3"/>
        <v>251.1961722</v>
      </c>
      <c r="F18" s="5">
        <f t="shared" si="4"/>
        <v>134.335519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9" t="s">
        <v>22</v>
      </c>
      <c r="B20" s="10" t="s">
        <v>23</v>
      </c>
      <c r="C20" s="10" t="s">
        <v>24</v>
      </c>
      <c r="D20" s="4" t="s">
        <v>25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 t="s">
        <v>26</v>
      </c>
      <c r="B21" s="5">
        <v>220.0</v>
      </c>
      <c r="C21" s="5" t="s">
        <v>27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 t="s">
        <v>28</v>
      </c>
      <c r="B22" s="5">
        <v>170.0</v>
      </c>
      <c r="C22" s="5" t="s">
        <v>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 t="s">
        <v>29</v>
      </c>
      <c r="B23" s="5">
        <v>120.0</v>
      </c>
      <c r="C23" s="5" t="s">
        <v>27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 t="s">
        <v>30</v>
      </c>
      <c r="B24" s="5">
        <v>40.0</v>
      </c>
      <c r="C24" s="5" t="s">
        <v>31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 t="s">
        <v>32</v>
      </c>
      <c r="B25" s="5">
        <v>3.0</v>
      </c>
      <c r="C25" s="5" t="s">
        <v>31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 t="s">
        <v>33</v>
      </c>
      <c r="B26" s="5">
        <v>2.0</v>
      </c>
      <c r="C26" s="5" t="s">
        <v>31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 t="s">
        <v>34</v>
      </c>
      <c r="B27" s="5">
        <v>500.0</v>
      </c>
      <c r="C27" s="5" t="s">
        <v>31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 t="s">
        <v>35</v>
      </c>
      <c r="B28" s="5">
        <v>120.0</v>
      </c>
      <c r="C28" s="5" t="s">
        <v>31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 t="s">
        <v>36</v>
      </c>
      <c r="B29" s="5">
        <v>50.0</v>
      </c>
      <c r="C29" s="5" t="s">
        <v>37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9" t="s">
        <v>38</v>
      </c>
      <c r="B31" s="10" t="s">
        <v>39</v>
      </c>
      <c r="C31" s="4" t="s">
        <v>40</v>
      </c>
      <c r="D31" s="4" t="s">
        <v>25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 t="s">
        <v>41</v>
      </c>
      <c r="B32" s="5">
        <v>3.0</v>
      </c>
      <c r="C32" s="4"/>
      <c r="D32" s="4"/>
      <c r="E32" s="4" t="s">
        <v>40</v>
      </c>
      <c r="F32" s="4" t="s">
        <v>25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 t="s">
        <v>42</v>
      </c>
      <c r="B33" s="5">
        <v>8.0</v>
      </c>
      <c r="C33" s="4"/>
      <c r="D33" s="4"/>
      <c r="E33" s="4" t="s">
        <v>40</v>
      </c>
      <c r="F33" s="4" t="s">
        <v>25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 t="s">
        <v>43</v>
      </c>
      <c r="B34" s="5">
        <v>12.0</v>
      </c>
      <c r="C34" s="4"/>
      <c r="D34" s="4"/>
      <c r="E34" s="4" t="s">
        <v>40</v>
      </c>
      <c r="F34" s="4" t="s">
        <v>25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 t="s">
        <v>44</v>
      </c>
      <c r="B35" s="5">
        <v>5.0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9" t="s">
        <v>45</v>
      </c>
      <c r="B37" s="10" t="s">
        <v>23</v>
      </c>
      <c r="C37" s="4" t="s">
        <v>40</v>
      </c>
      <c r="D37" s="4" t="s">
        <v>25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 t="s">
        <v>46</v>
      </c>
      <c r="B38" s="5">
        <v>150000.0</v>
      </c>
      <c r="C38" s="4"/>
      <c r="D38" s="4"/>
      <c r="E38" s="4" t="s">
        <v>40</v>
      </c>
      <c r="F38" s="4" t="s">
        <v>25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 t="s">
        <v>47</v>
      </c>
      <c r="B39" s="5">
        <v>200000.0</v>
      </c>
      <c r="C39" s="4"/>
      <c r="D39" s="4"/>
      <c r="E39" s="4" t="s">
        <v>40</v>
      </c>
      <c r="F39" s="4" t="s">
        <v>25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 t="s">
        <v>48</v>
      </c>
      <c r="B40" s="5">
        <v>50000.0</v>
      </c>
      <c r="C40" s="4"/>
      <c r="D40" s="4"/>
      <c r="E40" s="4" t="s">
        <v>40</v>
      </c>
      <c r="F40" s="4" t="s">
        <v>25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 t="s">
        <v>49</v>
      </c>
      <c r="B41" s="5">
        <v>75000.0</v>
      </c>
      <c r="C41" s="4"/>
      <c r="D41" s="4"/>
      <c r="E41" s="4" t="s">
        <v>40</v>
      </c>
      <c r="F41" s="4" t="s">
        <v>25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 t="s">
        <v>50</v>
      </c>
      <c r="B42" s="5">
        <v>40000.0</v>
      </c>
      <c r="C42" s="4"/>
      <c r="D42" s="4"/>
      <c r="E42" s="4" t="s">
        <v>40</v>
      </c>
      <c r="F42" s="4" t="s">
        <v>25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 t="s">
        <v>51</v>
      </c>
      <c r="B43" s="5">
        <v>100000.0</v>
      </c>
      <c r="C43" s="4"/>
      <c r="D43" s="4"/>
      <c r="E43" s="4" t="s">
        <v>40</v>
      </c>
      <c r="F43" s="4" t="s">
        <v>25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 t="s">
        <v>52</v>
      </c>
      <c r="B44" s="5">
        <v>50000.0</v>
      </c>
      <c r="C44" s="4"/>
      <c r="D44" s="4"/>
      <c r="E44" s="4" t="s">
        <v>40</v>
      </c>
      <c r="F44" s="4" t="s">
        <v>25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" t="s">
        <v>53</v>
      </c>
      <c r="B45" s="5">
        <f>SUM(B38:B44)</f>
        <v>665000</v>
      </c>
      <c r="C45" s="4"/>
      <c r="D45" s="4"/>
      <c r="E45" s="4" t="s">
        <v>54</v>
      </c>
      <c r="F45" s="4" t="s">
        <v>25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 t="s">
        <v>55</v>
      </c>
      <c r="B46" s="5">
        <v>100.0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8" t="s">
        <v>56</v>
      </c>
      <c r="B47" s="5">
        <f>B45/B46</f>
        <v>6650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9" t="s">
        <v>57</v>
      </c>
      <c r="B49" s="10" t="s">
        <v>58</v>
      </c>
      <c r="C49" s="4" t="s">
        <v>40</v>
      </c>
      <c r="D49" s="4" t="s">
        <v>25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 t="s">
        <v>59</v>
      </c>
      <c r="B50" s="12">
        <v>0.03</v>
      </c>
      <c r="C50" s="4" t="s">
        <v>40</v>
      </c>
      <c r="D50" s="4"/>
      <c r="E50" s="4"/>
      <c r="F50" s="4" t="s">
        <v>25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 t="s">
        <v>60</v>
      </c>
      <c r="B51" s="12">
        <v>0.015</v>
      </c>
      <c r="C51" s="4" t="s">
        <v>40</v>
      </c>
      <c r="D51" s="4"/>
      <c r="E51" s="4"/>
      <c r="F51" s="4" t="s">
        <v>25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" t="s">
        <v>61</v>
      </c>
      <c r="B52" s="12">
        <v>0.01</v>
      </c>
      <c r="C52" s="4" t="s">
        <v>40</v>
      </c>
      <c r="D52" s="4"/>
      <c r="E52" s="4"/>
      <c r="F52" s="4" t="s">
        <v>25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 t="s">
        <v>62</v>
      </c>
      <c r="B53" s="12">
        <f>SUM(B50:B52)</f>
        <v>0.055</v>
      </c>
      <c r="C53" s="4" t="s">
        <v>63</v>
      </c>
      <c r="D53" s="4"/>
      <c r="E53" s="4"/>
      <c r="F53" s="4" t="s">
        <v>25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" t="s">
        <v>64</v>
      </c>
      <c r="B54" s="12">
        <f>1+B53</f>
        <v>1.055</v>
      </c>
      <c r="C54" s="4" t="s">
        <v>40</v>
      </c>
      <c r="D54" s="4"/>
      <c r="E54" s="4"/>
      <c r="F54" s="4" t="s">
        <v>25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" t="s">
        <v>65</v>
      </c>
      <c r="B55" s="5">
        <v>20.0</v>
      </c>
      <c r="C55" s="5" t="s">
        <v>66</v>
      </c>
      <c r="D55" s="4"/>
      <c r="E55" s="4"/>
      <c r="F55" s="4" t="s">
        <v>25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 t="s">
        <v>67</v>
      </c>
      <c r="B56" s="4" t="s">
        <v>68</v>
      </c>
      <c r="C56" s="4" t="s">
        <v>40</v>
      </c>
      <c r="D56" s="4"/>
      <c r="E56" s="4"/>
      <c r="F56" s="4" t="s">
        <v>25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0" t="s">
        <v>69</v>
      </c>
      <c r="B57" s="10" t="s">
        <v>23</v>
      </c>
      <c r="C57" s="10" t="s">
        <v>70</v>
      </c>
      <c r="D57" s="9" t="s">
        <v>12</v>
      </c>
      <c r="E57" s="9" t="s">
        <v>13</v>
      </c>
      <c r="F57" s="9" t="s">
        <v>14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 t="s">
        <v>71</v>
      </c>
      <c r="B58" s="5">
        <v>35000.0</v>
      </c>
      <c r="C58" s="5">
        <f t="shared" ref="C58:C62" si="5">B58/$B$6</f>
        <v>382.137788</v>
      </c>
      <c r="D58" s="5">
        <f t="shared" ref="D58:D62" si="6">B58/$B$7</f>
        <v>322.7591295</v>
      </c>
      <c r="E58" s="5">
        <f t="shared" ref="E58:E62" si="7">B58/$B$8</f>
        <v>523.3253589</v>
      </c>
      <c r="F58" s="5">
        <f t="shared" ref="F58:F62" si="8">B58/$B$9</f>
        <v>279.8656645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 t="s">
        <v>72</v>
      </c>
      <c r="B59" s="5">
        <v>25000.0</v>
      </c>
      <c r="C59" s="5">
        <f t="shared" si="5"/>
        <v>272.9555628</v>
      </c>
      <c r="D59" s="5">
        <f t="shared" si="6"/>
        <v>230.5422353</v>
      </c>
      <c r="E59" s="5">
        <f t="shared" si="7"/>
        <v>373.8038278</v>
      </c>
      <c r="F59" s="5">
        <f t="shared" si="8"/>
        <v>199.9040461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" t="s">
        <v>73</v>
      </c>
      <c r="B60" s="5">
        <v>15000.0</v>
      </c>
      <c r="C60" s="5">
        <f t="shared" si="5"/>
        <v>163.7733377</v>
      </c>
      <c r="D60" s="5">
        <f t="shared" si="6"/>
        <v>138.3253412</v>
      </c>
      <c r="E60" s="5">
        <f t="shared" si="7"/>
        <v>224.2822967</v>
      </c>
      <c r="F60" s="5">
        <f t="shared" si="8"/>
        <v>119.9424276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" t="s">
        <v>74</v>
      </c>
      <c r="B61" s="5">
        <v>10000.0</v>
      </c>
      <c r="C61" s="5">
        <f t="shared" si="5"/>
        <v>109.1822251</v>
      </c>
      <c r="D61" s="5">
        <f t="shared" si="6"/>
        <v>92.21689414</v>
      </c>
      <c r="E61" s="5">
        <f t="shared" si="7"/>
        <v>149.5215311</v>
      </c>
      <c r="F61" s="5">
        <f t="shared" si="8"/>
        <v>79.96161842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" t="s">
        <v>75</v>
      </c>
      <c r="B62" s="5">
        <v>5000.0</v>
      </c>
      <c r="C62" s="5">
        <f t="shared" si="5"/>
        <v>54.59111257</v>
      </c>
      <c r="D62" s="5">
        <f t="shared" si="6"/>
        <v>46.10844707</v>
      </c>
      <c r="E62" s="5">
        <f t="shared" si="7"/>
        <v>74.76076555</v>
      </c>
      <c r="F62" s="5">
        <f t="shared" si="8"/>
        <v>39.98080921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 t="s">
        <v>67</v>
      </c>
      <c r="B63" s="4" t="s">
        <v>68</v>
      </c>
      <c r="C63" s="4" t="s">
        <v>40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0" t="s">
        <v>76</v>
      </c>
      <c r="B64" s="10" t="s">
        <v>77</v>
      </c>
      <c r="C64" s="4" t="s">
        <v>40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 t="s">
        <v>78</v>
      </c>
      <c r="B65" s="5">
        <v>3500.0</v>
      </c>
      <c r="C65" s="4" t="s">
        <v>40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 t="s">
        <v>79</v>
      </c>
      <c r="B66" s="5">
        <v>2800.0</v>
      </c>
      <c r="C66" s="4" t="s">
        <v>40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" t="s">
        <v>80</v>
      </c>
      <c r="B67" s="5">
        <v>3000.0</v>
      </c>
      <c r="C67" s="4" t="s">
        <v>40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 t="s">
        <v>81</v>
      </c>
      <c r="B68" s="5">
        <v>4000.0</v>
      </c>
      <c r="C68" s="4" t="s">
        <v>40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 t="s">
        <v>82</v>
      </c>
      <c r="B69" s="5">
        <v>2200.0</v>
      </c>
      <c r="C69" s="4" t="s">
        <v>40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 t="s">
        <v>83</v>
      </c>
      <c r="B70" s="5">
        <v>2400.0</v>
      </c>
      <c r="C70" s="4" t="s">
        <v>40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 t="s">
        <v>84</v>
      </c>
      <c r="B71" s="5">
        <v>2600.0</v>
      </c>
      <c r="C71" s="4" t="s">
        <v>40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 t="s">
        <v>85</v>
      </c>
      <c r="B72" s="5">
        <v>1200.0</v>
      </c>
      <c r="C72" s="4" t="s">
        <v>40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5" t="s">
        <v>86</v>
      </c>
      <c r="B73" s="5">
        <v>2000.0</v>
      </c>
      <c r="C73" s="4" t="s">
        <v>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 t="s">
        <v>67</v>
      </c>
      <c r="B74" s="4" t="s">
        <v>68</v>
      </c>
      <c r="C74" s="4" t="s">
        <v>40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3" t="s">
        <v>87</v>
      </c>
      <c r="B75" s="4" t="s">
        <v>68</v>
      </c>
      <c r="C75" s="4" t="s">
        <v>40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" t="s">
        <v>88</v>
      </c>
      <c r="B76" s="12">
        <v>0.004</v>
      </c>
      <c r="C76" s="5" t="s">
        <v>89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5" t="s">
        <v>90</v>
      </c>
      <c r="B77" s="14">
        <v>0.1</v>
      </c>
      <c r="C77" s="4" t="s">
        <v>40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" t="s">
        <v>91</v>
      </c>
      <c r="B78" s="14">
        <v>0.15</v>
      </c>
      <c r="C78" s="4" t="s">
        <v>40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" t="s">
        <v>92</v>
      </c>
      <c r="B79" s="14">
        <v>0.2</v>
      </c>
      <c r="C79" s="4" t="s">
        <v>40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5" t="s">
        <v>93</v>
      </c>
      <c r="B80" s="14">
        <v>0.25</v>
      </c>
      <c r="C80" s="4" t="s">
        <v>94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14.5"/>
    <col customWidth="1" min="3" max="3" width="11.38"/>
    <col customWidth="1" min="4" max="4" width="3.38"/>
    <col customWidth="1" min="5" max="5" width="11.5"/>
    <col customWidth="1" min="6" max="6" width="9.5"/>
    <col customWidth="1" min="7" max="7" width="9.0"/>
    <col customWidth="1" min="8" max="8" width="11.63"/>
    <col customWidth="1" min="9" max="9" width="8.38"/>
    <col customWidth="1" min="10" max="10" width="9.38"/>
    <col customWidth="1" min="11" max="11" width="9.5"/>
    <col customWidth="1" min="12" max="12" width="7.5"/>
    <col customWidth="1" min="13" max="13" width="12.0"/>
    <col customWidth="1" min="14" max="14" width="12.5"/>
    <col customWidth="1" min="15" max="15" width="9.5"/>
    <col customWidth="1" min="16" max="16" width="8.25"/>
    <col customWidth="1" min="17" max="17" width="11.88"/>
    <col customWidth="1" min="18" max="18" width="20.0"/>
    <col customWidth="1" min="19" max="26" width="8.63"/>
  </cols>
  <sheetData>
    <row r="1" ht="14.25" customHeight="1">
      <c r="A1" s="15" t="s">
        <v>95</v>
      </c>
      <c r="B1" s="15" t="s">
        <v>96</v>
      </c>
      <c r="C1" s="15" t="s">
        <v>97</v>
      </c>
      <c r="D1" s="15" t="s">
        <v>98</v>
      </c>
      <c r="E1" s="15" t="s">
        <v>99</v>
      </c>
      <c r="F1" s="15" t="s">
        <v>100</v>
      </c>
      <c r="G1" s="15" t="s">
        <v>101</v>
      </c>
      <c r="H1" s="15" t="s">
        <v>102</v>
      </c>
      <c r="I1" s="15" t="s">
        <v>103</v>
      </c>
      <c r="J1" s="15" t="s">
        <v>104</v>
      </c>
      <c r="K1" s="15" t="s">
        <v>105</v>
      </c>
      <c r="L1" s="15" t="s">
        <v>106</v>
      </c>
      <c r="M1" s="15" t="s">
        <v>107</v>
      </c>
      <c r="N1" s="15" t="s">
        <v>108</v>
      </c>
      <c r="O1" s="15" t="s">
        <v>109</v>
      </c>
      <c r="P1" s="15" t="s">
        <v>110</v>
      </c>
      <c r="Q1" s="15" t="s">
        <v>111</v>
      </c>
      <c r="R1" s="15" t="s">
        <v>112</v>
      </c>
      <c r="S1" s="4"/>
      <c r="T1" s="4"/>
      <c r="U1" s="4"/>
      <c r="V1" s="4"/>
      <c r="W1" s="4"/>
      <c r="X1" s="4"/>
      <c r="Y1" s="4"/>
      <c r="Z1" s="4"/>
    </row>
    <row r="2" ht="14.25" customHeight="1">
      <c r="A2" s="16" t="s">
        <v>113</v>
      </c>
      <c r="B2" s="17" t="s">
        <v>114</v>
      </c>
      <c r="C2" s="18" t="s">
        <v>115</v>
      </c>
      <c r="D2" s="18">
        <v>1.0</v>
      </c>
      <c r="E2" s="18">
        <v>13.0</v>
      </c>
      <c r="F2" s="18">
        <f t="shared" ref="F2:F370" si="1">D2*E2</f>
        <v>13</v>
      </c>
      <c r="G2" s="19">
        <v>1.0</v>
      </c>
      <c r="H2" s="18" t="s">
        <v>116</v>
      </c>
      <c r="I2" s="18" t="s">
        <v>117</v>
      </c>
      <c r="J2" s="18" t="s">
        <v>118</v>
      </c>
      <c r="K2" s="18">
        <v>2800.0</v>
      </c>
      <c r="L2" s="18">
        <v>1500.0</v>
      </c>
      <c r="M2" s="18">
        <v>112000.0</v>
      </c>
      <c r="N2" s="18">
        <f>M2/'Input Costs'!$B$6</f>
        <v>1222.840921</v>
      </c>
      <c r="O2" s="18">
        <v>21.0</v>
      </c>
      <c r="P2" s="18">
        <v>5.0</v>
      </c>
      <c r="Q2" s="20">
        <f t="shared" ref="Q2:Q370" si="2">TODAY()</f>
        <v>46062</v>
      </c>
      <c r="R2" s="21" t="s">
        <v>119</v>
      </c>
      <c r="S2" s="4"/>
      <c r="T2" s="4"/>
      <c r="U2" s="4"/>
      <c r="V2" s="4"/>
      <c r="W2" s="4"/>
      <c r="X2" s="4"/>
      <c r="Y2" s="4"/>
      <c r="Z2" s="4"/>
    </row>
    <row r="3" ht="14.25" customHeight="1">
      <c r="A3" s="22"/>
      <c r="B3" s="23" t="s">
        <v>120</v>
      </c>
      <c r="C3" s="5" t="s">
        <v>115</v>
      </c>
      <c r="D3" s="5">
        <v>1.0</v>
      </c>
      <c r="E3" s="5">
        <v>14.0</v>
      </c>
      <c r="F3" s="5">
        <f t="shared" si="1"/>
        <v>14</v>
      </c>
      <c r="G3" s="14">
        <v>1.0</v>
      </c>
      <c r="H3" s="5" t="s">
        <v>116</v>
      </c>
      <c r="I3" s="5" t="s">
        <v>117</v>
      </c>
      <c r="J3" s="5" t="s">
        <v>118</v>
      </c>
      <c r="K3" s="5">
        <v>2800.0</v>
      </c>
      <c r="L3" s="5">
        <v>1500.0</v>
      </c>
      <c r="M3" s="5">
        <v>108000.0</v>
      </c>
      <c r="N3" s="5">
        <f>M3/'Input Costs'!$B$6</f>
        <v>1179.168031</v>
      </c>
      <c r="O3" s="5">
        <v>21.0</v>
      </c>
      <c r="P3" s="5">
        <v>5.0</v>
      </c>
      <c r="Q3" s="6">
        <f t="shared" si="2"/>
        <v>46062</v>
      </c>
      <c r="R3" s="24" t="s">
        <v>121</v>
      </c>
      <c r="S3" s="4"/>
      <c r="T3" s="4"/>
      <c r="U3" s="4"/>
      <c r="V3" s="4"/>
      <c r="W3" s="4"/>
      <c r="X3" s="4"/>
      <c r="Y3" s="4"/>
      <c r="Z3" s="4"/>
    </row>
    <row r="4" ht="14.25" customHeight="1">
      <c r="A4" s="22"/>
      <c r="B4" s="23" t="s">
        <v>122</v>
      </c>
      <c r="C4" s="5" t="s">
        <v>115</v>
      </c>
      <c r="D4" s="5">
        <v>1.0</v>
      </c>
      <c r="E4" s="5">
        <v>15.0</v>
      </c>
      <c r="F4" s="5">
        <f t="shared" si="1"/>
        <v>15</v>
      </c>
      <c r="G4" s="14">
        <v>1.0</v>
      </c>
      <c r="H4" s="5" t="s">
        <v>116</v>
      </c>
      <c r="I4" s="5" t="s">
        <v>117</v>
      </c>
      <c r="J4" s="5" t="s">
        <v>118</v>
      </c>
      <c r="K4" s="5">
        <v>2800.0</v>
      </c>
      <c r="L4" s="5">
        <v>1500.0</v>
      </c>
      <c r="M4" s="5">
        <v>105000.0</v>
      </c>
      <c r="N4" s="5">
        <f>M4/'Input Costs'!$B$6</f>
        <v>1146.413364</v>
      </c>
      <c r="O4" s="5">
        <v>21.0</v>
      </c>
      <c r="P4" s="5">
        <v>5.0</v>
      </c>
      <c r="Q4" s="6">
        <f t="shared" si="2"/>
        <v>46062</v>
      </c>
      <c r="R4" s="24" t="s">
        <v>123</v>
      </c>
      <c r="S4" s="4"/>
      <c r="T4" s="4"/>
      <c r="U4" s="4"/>
      <c r="V4" s="4"/>
      <c r="W4" s="4"/>
      <c r="X4" s="4"/>
      <c r="Y4" s="4"/>
      <c r="Z4" s="4"/>
    </row>
    <row r="5" ht="14.25" customHeight="1">
      <c r="A5" s="22"/>
      <c r="B5" s="23" t="s">
        <v>124</v>
      </c>
      <c r="C5" s="5" t="s">
        <v>115</v>
      </c>
      <c r="D5" s="5">
        <v>1.0</v>
      </c>
      <c r="E5" s="5">
        <v>16.0</v>
      </c>
      <c r="F5" s="5">
        <f t="shared" si="1"/>
        <v>16</v>
      </c>
      <c r="G5" s="14">
        <v>1.0</v>
      </c>
      <c r="H5" s="5" t="s">
        <v>116</v>
      </c>
      <c r="I5" s="5" t="s">
        <v>117</v>
      </c>
      <c r="J5" s="5" t="s">
        <v>118</v>
      </c>
      <c r="K5" s="5">
        <v>2800.0</v>
      </c>
      <c r="L5" s="5">
        <v>1500.0</v>
      </c>
      <c r="M5" s="5">
        <v>103000.0</v>
      </c>
      <c r="N5" s="5">
        <f>M5/'Input Costs'!$B$6</f>
        <v>1124.576919</v>
      </c>
      <c r="O5" s="5">
        <v>21.0</v>
      </c>
      <c r="P5" s="5">
        <v>5.0</v>
      </c>
      <c r="Q5" s="6">
        <f t="shared" si="2"/>
        <v>46062</v>
      </c>
      <c r="R5" s="24" t="s">
        <v>125</v>
      </c>
      <c r="S5" s="4"/>
      <c r="T5" s="4"/>
      <c r="U5" s="4"/>
      <c r="V5" s="4"/>
      <c r="W5" s="4"/>
      <c r="X5" s="4"/>
      <c r="Y5" s="4"/>
      <c r="Z5" s="4"/>
    </row>
    <row r="6" ht="14.25" customHeight="1">
      <c r="A6" s="22"/>
      <c r="B6" s="23" t="s">
        <v>126</v>
      </c>
      <c r="C6" s="5" t="s">
        <v>115</v>
      </c>
      <c r="D6" s="5">
        <v>1.0</v>
      </c>
      <c r="E6" s="5">
        <v>17.0</v>
      </c>
      <c r="F6" s="5">
        <f t="shared" si="1"/>
        <v>17</v>
      </c>
      <c r="G6" s="14">
        <v>1.0</v>
      </c>
      <c r="H6" s="5" t="s">
        <v>116</v>
      </c>
      <c r="I6" s="5" t="s">
        <v>117</v>
      </c>
      <c r="J6" s="5" t="s">
        <v>118</v>
      </c>
      <c r="K6" s="5">
        <v>2800.0</v>
      </c>
      <c r="L6" s="5">
        <v>1500.0</v>
      </c>
      <c r="M6" s="5">
        <v>102000.0</v>
      </c>
      <c r="N6" s="5">
        <f>M6/'Input Costs'!$B$6</f>
        <v>1113.658696</v>
      </c>
      <c r="O6" s="5">
        <v>21.0</v>
      </c>
      <c r="P6" s="5">
        <v>5.0</v>
      </c>
      <c r="Q6" s="6">
        <f t="shared" si="2"/>
        <v>46062</v>
      </c>
      <c r="R6" s="24" t="s">
        <v>127</v>
      </c>
      <c r="S6" s="4"/>
      <c r="T6" s="4"/>
      <c r="U6" s="4"/>
      <c r="V6" s="4"/>
      <c r="W6" s="4"/>
      <c r="X6" s="4"/>
      <c r="Y6" s="4"/>
      <c r="Z6" s="4"/>
    </row>
    <row r="7" ht="14.25" customHeight="1">
      <c r="A7" s="22"/>
      <c r="B7" s="23" t="s">
        <v>128</v>
      </c>
      <c r="C7" s="5" t="s">
        <v>115</v>
      </c>
      <c r="D7" s="5">
        <v>1.0</v>
      </c>
      <c r="E7" s="5">
        <v>18.0</v>
      </c>
      <c r="F7" s="5">
        <f t="shared" si="1"/>
        <v>18</v>
      </c>
      <c r="G7" s="14">
        <v>1.0</v>
      </c>
      <c r="H7" s="5" t="s">
        <v>116</v>
      </c>
      <c r="I7" s="5" t="s">
        <v>117</v>
      </c>
      <c r="J7" s="5" t="s">
        <v>118</v>
      </c>
      <c r="K7" s="5">
        <v>2800.0</v>
      </c>
      <c r="L7" s="5">
        <v>1500.0</v>
      </c>
      <c r="M7" s="5">
        <v>100000.0</v>
      </c>
      <c r="N7" s="5">
        <f>M7/'Input Costs'!$B$6</f>
        <v>1091.822251</v>
      </c>
      <c r="O7" s="5">
        <v>21.0</v>
      </c>
      <c r="P7" s="5">
        <v>5.0</v>
      </c>
      <c r="Q7" s="6">
        <f t="shared" si="2"/>
        <v>46062</v>
      </c>
      <c r="R7" s="24" t="s">
        <v>129</v>
      </c>
      <c r="S7" s="4"/>
      <c r="T7" s="4"/>
      <c r="U7" s="4"/>
      <c r="V7" s="4"/>
      <c r="W7" s="4"/>
      <c r="X7" s="4"/>
      <c r="Y7" s="4"/>
      <c r="Z7" s="4"/>
    </row>
    <row r="8" ht="14.25" customHeight="1">
      <c r="A8" s="22"/>
      <c r="B8" s="23" t="s">
        <v>130</v>
      </c>
      <c r="C8" s="5" t="s">
        <v>115</v>
      </c>
      <c r="D8" s="5">
        <v>1.0</v>
      </c>
      <c r="E8" s="5">
        <v>19.0</v>
      </c>
      <c r="F8" s="5">
        <f t="shared" si="1"/>
        <v>19</v>
      </c>
      <c r="G8" s="14">
        <v>1.0</v>
      </c>
      <c r="H8" s="5" t="s">
        <v>116</v>
      </c>
      <c r="I8" s="5" t="s">
        <v>117</v>
      </c>
      <c r="J8" s="5" t="s">
        <v>118</v>
      </c>
      <c r="K8" s="5">
        <v>2800.0</v>
      </c>
      <c r="L8" s="5">
        <v>1500.0</v>
      </c>
      <c r="M8" s="5">
        <v>98000.0</v>
      </c>
      <c r="N8" s="5">
        <f>M8/'Input Costs'!$B$6</f>
        <v>1069.985806</v>
      </c>
      <c r="O8" s="5">
        <v>21.0</v>
      </c>
      <c r="P8" s="5">
        <v>5.0</v>
      </c>
      <c r="Q8" s="6">
        <f t="shared" si="2"/>
        <v>46062</v>
      </c>
      <c r="R8" s="24" t="s">
        <v>131</v>
      </c>
      <c r="S8" s="4"/>
      <c r="T8" s="4"/>
      <c r="U8" s="4"/>
      <c r="V8" s="4"/>
      <c r="W8" s="4"/>
      <c r="X8" s="4"/>
      <c r="Y8" s="4"/>
      <c r="Z8" s="4"/>
    </row>
    <row r="9" ht="14.25" customHeight="1">
      <c r="A9" s="22"/>
      <c r="B9" s="23" t="s">
        <v>132</v>
      </c>
      <c r="C9" s="5" t="s">
        <v>115</v>
      </c>
      <c r="D9" s="5">
        <v>1.0</v>
      </c>
      <c r="E9" s="5">
        <v>20.0</v>
      </c>
      <c r="F9" s="5">
        <f t="shared" si="1"/>
        <v>20</v>
      </c>
      <c r="G9" s="14">
        <v>1.0</v>
      </c>
      <c r="H9" s="5" t="s">
        <v>116</v>
      </c>
      <c r="I9" s="5" t="s">
        <v>117</v>
      </c>
      <c r="J9" s="5" t="s">
        <v>118</v>
      </c>
      <c r="K9" s="5">
        <v>2800.0</v>
      </c>
      <c r="L9" s="5">
        <v>1500.0</v>
      </c>
      <c r="M9" s="5">
        <v>97000.0</v>
      </c>
      <c r="N9" s="5">
        <f>M9/'Input Costs'!$B$6</f>
        <v>1059.067584</v>
      </c>
      <c r="O9" s="5">
        <v>21.0</v>
      </c>
      <c r="P9" s="5">
        <v>5.0</v>
      </c>
      <c r="Q9" s="6">
        <f t="shared" si="2"/>
        <v>46062</v>
      </c>
      <c r="R9" s="24" t="s">
        <v>133</v>
      </c>
      <c r="S9" s="4"/>
      <c r="T9" s="4"/>
      <c r="U9" s="4"/>
      <c r="V9" s="4"/>
      <c r="W9" s="4"/>
      <c r="X9" s="4"/>
      <c r="Y9" s="4"/>
      <c r="Z9" s="4"/>
    </row>
    <row r="10" ht="14.25" customHeight="1">
      <c r="A10" s="22"/>
      <c r="B10" s="23" t="s">
        <v>134</v>
      </c>
      <c r="C10" s="5" t="s">
        <v>115</v>
      </c>
      <c r="D10" s="5">
        <v>1.0</v>
      </c>
      <c r="E10" s="5">
        <v>21.0</v>
      </c>
      <c r="F10" s="5">
        <f t="shared" si="1"/>
        <v>21</v>
      </c>
      <c r="G10" s="14">
        <v>1.0</v>
      </c>
      <c r="H10" s="5" t="s">
        <v>116</v>
      </c>
      <c r="I10" s="5" t="s">
        <v>117</v>
      </c>
      <c r="J10" s="5" t="s">
        <v>118</v>
      </c>
      <c r="K10" s="5">
        <v>2800.0</v>
      </c>
      <c r="L10" s="5">
        <v>1500.0</v>
      </c>
      <c r="M10" s="5">
        <v>96000.0</v>
      </c>
      <c r="N10" s="5">
        <f>M10/'Input Costs'!$B$6</f>
        <v>1048.149361</v>
      </c>
      <c r="O10" s="5">
        <v>21.0</v>
      </c>
      <c r="P10" s="5">
        <v>5.0</v>
      </c>
      <c r="Q10" s="6">
        <f t="shared" si="2"/>
        <v>46062</v>
      </c>
      <c r="R10" s="24" t="s">
        <v>135</v>
      </c>
      <c r="S10" s="4"/>
      <c r="T10" s="4"/>
      <c r="U10" s="4"/>
      <c r="V10" s="4"/>
      <c r="W10" s="4"/>
      <c r="X10" s="4"/>
      <c r="Y10" s="4"/>
      <c r="Z10" s="4"/>
    </row>
    <row r="11" ht="14.25" customHeight="1">
      <c r="A11" s="22"/>
      <c r="B11" s="23" t="s">
        <v>136</v>
      </c>
      <c r="C11" s="5" t="s">
        <v>115</v>
      </c>
      <c r="D11" s="5">
        <v>1.0</v>
      </c>
      <c r="E11" s="5">
        <v>22.0</v>
      </c>
      <c r="F11" s="5">
        <f t="shared" si="1"/>
        <v>22</v>
      </c>
      <c r="G11" s="14">
        <v>1.0</v>
      </c>
      <c r="H11" s="5" t="s">
        <v>116</v>
      </c>
      <c r="I11" s="5" t="s">
        <v>117</v>
      </c>
      <c r="J11" s="5" t="s">
        <v>118</v>
      </c>
      <c r="K11" s="5">
        <v>2800.0</v>
      </c>
      <c r="L11" s="5">
        <v>1500.0</v>
      </c>
      <c r="M11" s="5">
        <v>95000.0</v>
      </c>
      <c r="N11" s="5">
        <f>M11/'Input Costs'!$B$6</f>
        <v>1037.231139</v>
      </c>
      <c r="O11" s="5">
        <v>21.0</v>
      </c>
      <c r="P11" s="5">
        <v>5.0</v>
      </c>
      <c r="Q11" s="6">
        <f t="shared" si="2"/>
        <v>46062</v>
      </c>
      <c r="R11" s="24" t="s">
        <v>137</v>
      </c>
      <c r="S11" s="4"/>
      <c r="T11" s="4"/>
      <c r="U11" s="4"/>
      <c r="V11" s="4"/>
      <c r="W11" s="4"/>
      <c r="X11" s="4"/>
      <c r="Y11" s="4"/>
      <c r="Z11" s="4"/>
    </row>
    <row r="12" ht="14.25" customHeight="1">
      <c r="A12" s="22"/>
      <c r="B12" s="23" t="s">
        <v>138</v>
      </c>
      <c r="C12" s="5" t="s">
        <v>115</v>
      </c>
      <c r="D12" s="5">
        <v>1.0</v>
      </c>
      <c r="E12" s="5">
        <v>23.0</v>
      </c>
      <c r="F12" s="5">
        <f t="shared" si="1"/>
        <v>23</v>
      </c>
      <c r="G12" s="14">
        <v>1.0</v>
      </c>
      <c r="H12" s="5" t="s">
        <v>116</v>
      </c>
      <c r="I12" s="5" t="s">
        <v>117</v>
      </c>
      <c r="J12" s="5" t="s">
        <v>118</v>
      </c>
      <c r="K12" s="5">
        <v>2800.0</v>
      </c>
      <c r="L12" s="5">
        <v>1500.0</v>
      </c>
      <c r="M12" s="5">
        <v>94000.0</v>
      </c>
      <c r="N12" s="5">
        <f>M12/'Input Costs'!$B$6</f>
        <v>1026.312916</v>
      </c>
      <c r="O12" s="5">
        <v>21.0</v>
      </c>
      <c r="P12" s="5">
        <v>5.0</v>
      </c>
      <c r="Q12" s="6">
        <f t="shared" si="2"/>
        <v>46062</v>
      </c>
      <c r="R12" s="24" t="s">
        <v>139</v>
      </c>
      <c r="S12" s="4"/>
      <c r="T12" s="4"/>
      <c r="U12" s="4"/>
      <c r="V12" s="4"/>
      <c r="W12" s="4"/>
      <c r="X12" s="4"/>
      <c r="Y12" s="4"/>
      <c r="Z12" s="4"/>
    </row>
    <row r="13" ht="14.25" customHeight="1">
      <c r="A13" s="22"/>
      <c r="B13" s="23" t="s">
        <v>140</v>
      </c>
      <c r="C13" s="5" t="s">
        <v>115</v>
      </c>
      <c r="D13" s="5">
        <v>1.0</v>
      </c>
      <c r="E13" s="5">
        <v>24.0</v>
      </c>
      <c r="F13" s="5">
        <f t="shared" si="1"/>
        <v>24</v>
      </c>
      <c r="G13" s="14">
        <v>1.0</v>
      </c>
      <c r="H13" s="5" t="s">
        <v>116</v>
      </c>
      <c r="I13" s="5" t="s">
        <v>117</v>
      </c>
      <c r="J13" s="5" t="s">
        <v>118</v>
      </c>
      <c r="K13" s="5">
        <v>2800.0</v>
      </c>
      <c r="L13" s="5">
        <v>1500.0</v>
      </c>
      <c r="M13" s="5">
        <v>93000.0</v>
      </c>
      <c r="N13" s="5">
        <f>M13/'Input Costs'!$B$6</f>
        <v>1015.394694</v>
      </c>
      <c r="O13" s="5">
        <v>21.0</v>
      </c>
      <c r="P13" s="5">
        <v>5.0</v>
      </c>
      <c r="Q13" s="6">
        <f t="shared" si="2"/>
        <v>46062</v>
      </c>
      <c r="R13" s="24" t="s">
        <v>141</v>
      </c>
      <c r="S13" s="4"/>
      <c r="T13" s="4"/>
      <c r="U13" s="4"/>
      <c r="V13" s="4"/>
      <c r="W13" s="4"/>
      <c r="X13" s="4"/>
      <c r="Y13" s="4"/>
      <c r="Z13" s="4"/>
    </row>
    <row r="14" ht="14.25" customHeight="1">
      <c r="A14" s="22"/>
      <c r="B14" s="23" t="s">
        <v>142</v>
      </c>
      <c r="C14" s="5" t="s">
        <v>115</v>
      </c>
      <c r="D14" s="5">
        <v>1.0</v>
      </c>
      <c r="E14" s="5">
        <v>25.0</v>
      </c>
      <c r="F14" s="5">
        <f t="shared" si="1"/>
        <v>25</v>
      </c>
      <c r="G14" s="14">
        <v>1.0</v>
      </c>
      <c r="H14" s="5" t="s">
        <v>116</v>
      </c>
      <c r="I14" s="5" t="s">
        <v>117</v>
      </c>
      <c r="J14" s="5" t="s">
        <v>118</v>
      </c>
      <c r="K14" s="5">
        <v>2800.0</v>
      </c>
      <c r="L14" s="5">
        <v>1500.0</v>
      </c>
      <c r="M14" s="5">
        <v>92000.0</v>
      </c>
      <c r="N14" s="5">
        <f>M14/'Input Costs'!$B$6</f>
        <v>1004.476471</v>
      </c>
      <c r="O14" s="5">
        <v>21.0</v>
      </c>
      <c r="P14" s="5">
        <v>5.0</v>
      </c>
      <c r="Q14" s="6">
        <f t="shared" si="2"/>
        <v>46062</v>
      </c>
      <c r="R14" s="24" t="s">
        <v>143</v>
      </c>
      <c r="S14" s="4"/>
      <c r="T14" s="4"/>
      <c r="U14" s="4"/>
      <c r="V14" s="4"/>
      <c r="W14" s="4"/>
      <c r="X14" s="4"/>
      <c r="Y14" s="4"/>
      <c r="Z14" s="4"/>
    </row>
    <row r="15" ht="14.25" customHeight="1">
      <c r="A15" s="22"/>
      <c r="B15" s="23" t="s">
        <v>144</v>
      </c>
      <c r="C15" s="5" t="s">
        <v>115</v>
      </c>
      <c r="D15" s="5">
        <v>1.0</v>
      </c>
      <c r="E15" s="5">
        <v>28.0</v>
      </c>
      <c r="F15" s="5">
        <f t="shared" si="1"/>
        <v>28</v>
      </c>
      <c r="G15" s="14">
        <v>1.0</v>
      </c>
      <c r="H15" s="5" t="s">
        <v>116</v>
      </c>
      <c r="I15" s="5" t="s">
        <v>117</v>
      </c>
      <c r="J15" s="5" t="s">
        <v>118</v>
      </c>
      <c r="K15" s="5">
        <v>2800.0</v>
      </c>
      <c r="L15" s="5">
        <v>1500.0</v>
      </c>
      <c r="M15" s="5">
        <v>90000.0</v>
      </c>
      <c r="N15" s="5">
        <f>M15/'Input Costs'!$B$6</f>
        <v>982.6400262</v>
      </c>
      <c r="O15" s="5">
        <v>21.0</v>
      </c>
      <c r="P15" s="5">
        <v>5.0</v>
      </c>
      <c r="Q15" s="6">
        <f t="shared" si="2"/>
        <v>46062</v>
      </c>
      <c r="R15" s="24" t="s">
        <v>145</v>
      </c>
      <c r="S15" s="4"/>
      <c r="T15" s="4"/>
      <c r="U15" s="4"/>
      <c r="V15" s="4"/>
      <c r="W15" s="4"/>
      <c r="X15" s="4"/>
      <c r="Y15" s="4"/>
      <c r="Z15" s="4"/>
    </row>
    <row r="16" ht="14.25" customHeight="1">
      <c r="A16" s="25"/>
      <c r="B16" s="23" t="s">
        <v>146</v>
      </c>
      <c r="C16" s="5" t="s">
        <v>115</v>
      </c>
      <c r="D16" s="5">
        <v>1.0</v>
      </c>
      <c r="E16" s="5">
        <v>30.0</v>
      </c>
      <c r="F16" s="5">
        <f t="shared" si="1"/>
        <v>30</v>
      </c>
      <c r="G16" s="14">
        <v>1.0</v>
      </c>
      <c r="H16" s="5" t="s">
        <v>116</v>
      </c>
      <c r="I16" s="5" t="s">
        <v>117</v>
      </c>
      <c r="J16" s="5" t="s">
        <v>118</v>
      </c>
      <c r="K16" s="5">
        <v>2800.0</v>
      </c>
      <c r="L16" s="5">
        <v>1500.0</v>
      </c>
      <c r="M16" s="5">
        <v>88000.0</v>
      </c>
      <c r="N16" s="5">
        <f>M16/'Input Costs'!$B$6</f>
        <v>960.8035812</v>
      </c>
      <c r="O16" s="5">
        <v>21.0</v>
      </c>
      <c r="P16" s="5">
        <v>5.0</v>
      </c>
      <c r="Q16" s="6">
        <f t="shared" si="2"/>
        <v>46062</v>
      </c>
      <c r="R16" s="24" t="s">
        <v>147</v>
      </c>
      <c r="S16" s="4"/>
      <c r="T16" s="4"/>
      <c r="U16" s="4"/>
      <c r="V16" s="4"/>
      <c r="W16" s="4"/>
      <c r="X16" s="4"/>
      <c r="Y16" s="4"/>
      <c r="Z16" s="4"/>
    </row>
    <row r="17" ht="14.25" customHeight="1">
      <c r="A17" s="16" t="s">
        <v>148</v>
      </c>
      <c r="B17" s="23" t="s">
        <v>149</v>
      </c>
      <c r="C17" s="5" t="s">
        <v>115</v>
      </c>
      <c r="D17" s="5">
        <v>1.0</v>
      </c>
      <c r="E17" s="5">
        <v>13.0</v>
      </c>
      <c r="F17" s="5">
        <f t="shared" si="1"/>
        <v>13</v>
      </c>
      <c r="G17" s="14">
        <v>1.0</v>
      </c>
      <c r="H17" s="5" t="s">
        <v>116</v>
      </c>
      <c r="I17" s="5" t="s">
        <v>117</v>
      </c>
      <c r="J17" s="5" t="s">
        <v>150</v>
      </c>
      <c r="K17" s="5">
        <v>2800.0</v>
      </c>
      <c r="L17" s="5">
        <v>1500.0</v>
      </c>
      <c r="M17" s="5">
        <v>125000.0</v>
      </c>
      <c r="N17" s="5">
        <f>M17/'Input Costs'!$B$6</f>
        <v>1364.777814</v>
      </c>
      <c r="O17" s="5">
        <v>25.0</v>
      </c>
      <c r="P17" s="5">
        <v>5.0</v>
      </c>
      <c r="Q17" s="6">
        <f t="shared" si="2"/>
        <v>46062</v>
      </c>
      <c r="R17" s="24" t="s">
        <v>151</v>
      </c>
      <c r="S17" s="4"/>
      <c r="T17" s="4"/>
      <c r="U17" s="4"/>
      <c r="V17" s="4"/>
      <c r="W17" s="4"/>
      <c r="X17" s="4"/>
      <c r="Y17" s="4"/>
      <c r="Z17" s="4"/>
    </row>
    <row r="18" ht="14.25" customHeight="1">
      <c r="A18" s="22"/>
      <c r="B18" s="23" t="s">
        <v>152</v>
      </c>
      <c r="C18" s="5" t="s">
        <v>115</v>
      </c>
      <c r="D18" s="5">
        <v>1.0</v>
      </c>
      <c r="E18" s="5">
        <v>14.0</v>
      </c>
      <c r="F18" s="5">
        <f t="shared" si="1"/>
        <v>14</v>
      </c>
      <c r="G18" s="14">
        <v>1.0</v>
      </c>
      <c r="H18" s="5" t="s">
        <v>116</v>
      </c>
      <c r="I18" s="5" t="s">
        <v>117</v>
      </c>
      <c r="J18" s="5" t="s">
        <v>150</v>
      </c>
      <c r="K18" s="5">
        <v>2800.0</v>
      </c>
      <c r="L18" s="5">
        <v>1500.0</v>
      </c>
      <c r="M18" s="5">
        <v>122000.0</v>
      </c>
      <c r="N18" s="5">
        <f>M18/'Input Costs'!$B$6</f>
        <v>1332.023147</v>
      </c>
      <c r="O18" s="5">
        <v>25.0</v>
      </c>
      <c r="P18" s="5">
        <v>5.0</v>
      </c>
      <c r="Q18" s="6">
        <f t="shared" si="2"/>
        <v>46062</v>
      </c>
      <c r="R18" s="24" t="s">
        <v>151</v>
      </c>
      <c r="S18" s="4"/>
      <c r="T18" s="4"/>
      <c r="U18" s="4"/>
      <c r="V18" s="4"/>
      <c r="W18" s="4"/>
      <c r="X18" s="4"/>
      <c r="Y18" s="4"/>
      <c r="Z18" s="4"/>
    </row>
    <row r="19" ht="14.25" customHeight="1">
      <c r="A19" s="22"/>
      <c r="B19" s="23" t="s">
        <v>153</v>
      </c>
      <c r="C19" s="5" t="s">
        <v>115</v>
      </c>
      <c r="D19" s="5">
        <v>1.0</v>
      </c>
      <c r="E19" s="5">
        <v>15.0</v>
      </c>
      <c r="F19" s="5">
        <f t="shared" si="1"/>
        <v>15</v>
      </c>
      <c r="G19" s="14">
        <v>1.0</v>
      </c>
      <c r="H19" s="5" t="s">
        <v>116</v>
      </c>
      <c r="I19" s="5" t="s">
        <v>117</v>
      </c>
      <c r="J19" s="5" t="s">
        <v>150</v>
      </c>
      <c r="K19" s="5">
        <v>2800.0</v>
      </c>
      <c r="L19" s="5">
        <v>1500.0</v>
      </c>
      <c r="M19" s="5">
        <v>118000.0</v>
      </c>
      <c r="N19" s="5">
        <f>M19/'Input Costs'!$B$6</f>
        <v>1288.350257</v>
      </c>
      <c r="O19" s="5">
        <v>25.0</v>
      </c>
      <c r="P19" s="5">
        <v>5.0</v>
      </c>
      <c r="Q19" s="6">
        <f t="shared" si="2"/>
        <v>46062</v>
      </c>
      <c r="R19" s="24" t="s">
        <v>154</v>
      </c>
      <c r="S19" s="4"/>
      <c r="T19" s="4"/>
      <c r="U19" s="4"/>
      <c r="V19" s="4"/>
      <c r="W19" s="4"/>
      <c r="X19" s="4"/>
      <c r="Y19" s="4"/>
      <c r="Z19" s="4"/>
    </row>
    <row r="20" ht="14.25" customHeight="1">
      <c r="A20" s="22"/>
      <c r="B20" s="23" t="s">
        <v>155</v>
      </c>
      <c r="C20" s="5" t="s">
        <v>115</v>
      </c>
      <c r="D20" s="5">
        <v>1.0</v>
      </c>
      <c r="E20" s="5">
        <v>16.0</v>
      </c>
      <c r="F20" s="5">
        <f t="shared" si="1"/>
        <v>16</v>
      </c>
      <c r="G20" s="14">
        <v>1.0</v>
      </c>
      <c r="H20" s="5" t="s">
        <v>116</v>
      </c>
      <c r="I20" s="5" t="s">
        <v>117</v>
      </c>
      <c r="J20" s="5" t="s">
        <v>150</v>
      </c>
      <c r="K20" s="5">
        <v>2800.0</v>
      </c>
      <c r="L20" s="5">
        <v>1500.0</v>
      </c>
      <c r="M20" s="5">
        <v>116000.0</v>
      </c>
      <c r="N20" s="5">
        <f>M20/'Input Costs'!$B$6</f>
        <v>1266.513812</v>
      </c>
      <c r="O20" s="5">
        <v>25.0</v>
      </c>
      <c r="P20" s="5">
        <v>5.0</v>
      </c>
      <c r="Q20" s="6">
        <f t="shared" si="2"/>
        <v>46062</v>
      </c>
      <c r="R20" s="24" t="s">
        <v>154</v>
      </c>
      <c r="S20" s="4"/>
      <c r="T20" s="4"/>
      <c r="U20" s="4"/>
      <c r="V20" s="4"/>
      <c r="W20" s="4"/>
      <c r="X20" s="4"/>
      <c r="Y20" s="4"/>
      <c r="Z20" s="4"/>
    </row>
    <row r="21" ht="14.25" customHeight="1">
      <c r="A21" s="22"/>
      <c r="B21" s="23" t="s">
        <v>156</v>
      </c>
      <c r="C21" s="5" t="s">
        <v>115</v>
      </c>
      <c r="D21" s="5">
        <v>1.0</v>
      </c>
      <c r="E21" s="5">
        <v>17.0</v>
      </c>
      <c r="F21" s="5">
        <f t="shared" si="1"/>
        <v>17</v>
      </c>
      <c r="G21" s="14">
        <v>1.0</v>
      </c>
      <c r="H21" s="5" t="s">
        <v>116</v>
      </c>
      <c r="I21" s="5" t="s">
        <v>117</v>
      </c>
      <c r="J21" s="5" t="s">
        <v>150</v>
      </c>
      <c r="K21" s="5">
        <v>2800.0</v>
      </c>
      <c r="L21" s="5">
        <v>1500.0</v>
      </c>
      <c r="M21" s="5">
        <v>115000.0</v>
      </c>
      <c r="N21" s="5">
        <f>M21/'Input Costs'!$B$6</f>
        <v>1255.595589</v>
      </c>
      <c r="O21" s="5">
        <v>25.0</v>
      </c>
      <c r="P21" s="5">
        <v>5.0</v>
      </c>
      <c r="Q21" s="6">
        <f t="shared" si="2"/>
        <v>46062</v>
      </c>
      <c r="R21" s="24" t="s">
        <v>157</v>
      </c>
      <c r="S21" s="4"/>
      <c r="T21" s="4"/>
      <c r="U21" s="4"/>
      <c r="V21" s="4"/>
      <c r="W21" s="4"/>
      <c r="X21" s="4"/>
      <c r="Y21" s="4"/>
      <c r="Z21" s="4"/>
    </row>
    <row r="22" ht="14.25" customHeight="1">
      <c r="A22" s="22"/>
      <c r="B22" s="23" t="s">
        <v>158</v>
      </c>
      <c r="C22" s="5" t="s">
        <v>115</v>
      </c>
      <c r="D22" s="5">
        <v>1.0</v>
      </c>
      <c r="E22" s="5">
        <v>18.0</v>
      </c>
      <c r="F22" s="5">
        <f t="shared" si="1"/>
        <v>18</v>
      </c>
      <c r="G22" s="14">
        <v>1.0</v>
      </c>
      <c r="H22" s="5" t="s">
        <v>116</v>
      </c>
      <c r="I22" s="5" t="s">
        <v>117</v>
      </c>
      <c r="J22" s="5" t="s">
        <v>150</v>
      </c>
      <c r="K22" s="5">
        <v>2800.0</v>
      </c>
      <c r="L22" s="5">
        <v>1500.0</v>
      </c>
      <c r="M22" s="5">
        <v>113000.0</v>
      </c>
      <c r="N22" s="5">
        <f>M22/'Input Costs'!$B$6</f>
        <v>1233.759144</v>
      </c>
      <c r="O22" s="5">
        <v>25.0</v>
      </c>
      <c r="P22" s="5">
        <v>5.0</v>
      </c>
      <c r="Q22" s="6">
        <f t="shared" si="2"/>
        <v>46062</v>
      </c>
      <c r="R22" s="24" t="s">
        <v>159</v>
      </c>
      <c r="S22" s="4"/>
      <c r="T22" s="4"/>
      <c r="U22" s="4"/>
      <c r="V22" s="4"/>
      <c r="W22" s="4"/>
      <c r="X22" s="4"/>
      <c r="Y22" s="4"/>
      <c r="Z22" s="4"/>
    </row>
    <row r="23" ht="14.25" customHeight="1">
      <c r="A23" s="22"/>
      <c r="B23" s="23" t="s">
        <v>160</v>
      </c>
      <c r="C23" s="5" t="s">
        <v>115</v>
      </c>
      <c r="D23" s="5">
        <v>1.0</v>
      </c>
      <c r="E23" s="5">
        <v>20.0</v>
      </c>
      <c r="F23" s="5">
        <f t="shared" si="1"/>
        <v>20</v>
      </c>
      <c r="G23" s="14">
        <v>1.0</v>
      </c>
      <c r="H23" s="5" t="s">
        <v>116</v>
      </c>
      <c r="I23" s="5" t="s">
        <v>117</v>
      </c>
      <c r="J23" s="5" t="s">
        <v>150</v>
      </c>
      <c r="K23" s="5">
        <v>2800.0</v>
      </c>
      <c r="L23" s="5">
        <v>1500.0</v>
      </c>
      <c r="M23" s="5">
        <v>110000.0</v>
      </c>
      <c r="N23" s="5">
        <f>M23/'Input Costs'!$B$6</f>
        <v>1201.004476</v>
      </c>
      <c r="O23" s="5">
        <v>25.0</v>
      </c>
      <c r="P23" s="5">
        <v>5.0</v>
      </c>
      <c r="Q23" s="6">
        <f t="shared" si="2"/>
        <v>46062</v>
      </c>
      <c r="R23" s="24" t="s">
        <v>161</v>
      </c>
      <c r="S23" s="4"/>
      <c r="T23" s="4"/>
      <c r="U23" s="4"/>
      <c r="V23" s="4"/>
      <c r="W23" s="4"/>
      <c r="X23" s="4"/>
      <c r="Y23" s="4"/>
      <c r="Z23" s="4"/>
    </row>
    <row r="24" ht="14.25" customHeight="1">
      <c r="A24" s="25"/>
      <c r="B24" s="23" t="s">
        <v>162</v>
      </c>
      <c r="C24" s="5" t="s">
        <v>115</v>
      </c>
      <c r="D24" s="5">
        <v>1.0</v>
      </c>
      <c r="E24" s="5">
        <v>22.0</v>
      </c>
      <c r="F24" s="5">
        <f t="shared" si="1"/>
        <v>22</v>
      </c>
      <c r="G24" s="14">
        <v>1.0</v>
      </c>
      <c r="H24" s="5" t="s">
        <v>116</v>
      </c>
      <c r="I24" s="5" t="s">
        <v>117</v>
      </c>
      <c r="J24" s="5" t="s">
        <v>150</v>
      </c>
      <c r="K24" s="5">
        <v>2800.0</v>
      </c>
      <c r="L24" s="5">
        <v>1500.0</v>
      </c>
      <c r="M24" s="5">
        <v>108000.0</v>
      </c>
      <c r="N24" s="5">
        <f>M24/'Input Costs'!$B$6</f>
        <v>1179.168031</v>
      </c>
      <c r="O24" s="5">
        <v>25.0</v>
      </c>
      <c r="P24" s="5">
        <v>5.0</v>
      </c>
      <c r="Q24" s="6">
        <f t="shared" si="2"/>
        <v>46062</v>
      </c>
      <c r="R24" s="24" t="s">
        <v>161</v>
      </c>
      <c r="S24" s="4"/>
      <c r="T24" s="4"/>
      <c r="U24" s="4"/>
      <c r="V24" s="4"/>
      <c r="W24" s="4"/>
      <c r="X24" s="4"/>
      <c r="Y24" s="4"/>
      <c r="Z24" s="4"/>
    </row>
    <row r="25" ht="14.25" customHeight="1">
      <c r="A25" s="16" t="s">
        <v>163</v>
      </c>
      <c r="B25" s="23" t="s">
        <v>164</v>
      </c>
      <c r="C25" s="5" t="s">
        <v>115</v>
      </c>
      <c r="D25" s="5">
        <v>1.0</v>
      </c>
      <c r="E25" s="5">
        <v>15.0</v>
      </c>
      <c r="F25" s="5">
        <f t="shared" si="1"/>
        <v>15</v>
      </c>
      <c r="G25" s="14">
        <v>1.0</v>
      </c>
      <c r="H25" s="5" t="s">
        <v>116</v>
      </c>
      <c r="I25" s="5" t="s">
        <v>117</v>
      </c>
      <c r="J25" s="5" t="s">
        <v>165</v>
      </c>
      <c r="K25" s="5">
        <v>2800.0</v>
      </c>
      <c r="L25" s="5">
        <v>1500.0</v>
      </c>
      <c r="M25" s="5">
        <v>98000.0</v>
      </c>
      <c r="N25" s="5">
        <f>M25/'Input Costs'!$B$6</f>
        <v>1069.985806</v>
      </c>
      <c r="O25" s="5">
        <v>21.0</v>
      </c>
      <c r="P25" s="5">
        <v>10.0</v>
      </c>
      <c r="Q25" s="6">
        <f t="shared" si="2"/>
        <v>46062</v>
      </c>
      <c r="R25" s="24" t="s">
        <v>166</v>
      </c>
      <c r="S25" s="4"/>
      <c r="T25" s="4"/>
      <c r="U25" s="4"/>
      <c r="V25" s="4"/>
      <c r="W25" s="4"/>
      <c r="X25" s="4"/>
      <c r="Y25" s="4"/>
      <c r="Z25" s="4"/>
    </row>
    <row r="26" ht="14.25" customHeight="1">
      <c r="A26" s="22"/>
      <c r="B26" s="23" t="s">
        <v>167</v>
      </c>
      <c r="C26" s="5" t="s">
        <v>115</v>
      </c>
      <c r="D26" s="5">
        <v>1.0</v>
      </c>
      <c r="E26" s="5">
        <v>17.0</v>
      </c>
      <c r="F26" s="5">
        <f t="shared" si="1"/>
        <v>17</v>
      </c>
      <c r="G26" s="14">
        <v>1.0</v>
      </c>
      <c r="H26" s="5" t="s">
        <v>116</v>
      </c>
      <c r="I26" s="5" t="s">
        <v>117</v>
      </c>
      <c r="J26" s="5" t="s">
        <v>165</v>
      </c>
      <c r="K26" s="5">
        <v>2800.0</v>
      </c>
      <c r="L26" s="5">
        <v>1500.0</v>
      </c>
      <c r="M26" s="5">
        <v>95000.0</v>
      </c>
      <c r="N26" s="5">
        <f>M26/'Input Costs'!$B$6</f>
        <v>1037.231139</v>
      </c>
      <c r="O26" s="5">
        <v>21.0</v>
      </c>
      <c r="P26" s="5">
        <v>10.0</v>
      </c>
      <c r="Q26" s="6">
        <f t="shared" si="2"/>
        <v>46062</v>
      </c>
      <c r="R26" s="24" t="s">
        <v>166</v>
      </c>
      <c r="S26" s="4"/>
      <c r="T26" s="4"/>
      <c r="U26" s="4"/>
      <c r="V26" s="4"/>
      <c r="W26" s="4"/>
      <c r="X26" s="4"/>
      <c r="Y26" s="4"/>
      <c r="Z26" s="4"/>
    </row>
    <row r="27" ht="14.25" customHeight="1">
      <c r="A27" s="22"/>
      <c r="B27" s="23" t="s">
        <v>168</v>
      </c>
      <c r="C27" s="5" t="s">
        <v>115</v>
      </c>
      <c r="D27" s="5">
        <v>1.0</v>
      </c>
      <c r="E27" s="5">
        <v>18.0</v>
      </c>
      <c r="F27" s="5">
        <f t="shared" si="1"/>
        <v>18</v>
      </c>
      <c r="G27" s="14">
        <v>1.0</v>
      </c>
      <c r="H27" s="5" t="s">
        <v>116</v>
      </c>
      <c r="I27" s="5" t="s">
        <v>117</v>
      </c>
      <c r="J27" s="5" t="s">
        <v>165</v>
      </c>
      <c r="K27" s="5">
        <v>2800.0</v>
      </c>
      <c r="L27" s="5">
        <v>1500.0</v>
      </c>
      <c r="M27" s="5">
        <v>93000.0</v>
      </c>
      <c r="N27" s="5">
        <f>M27/'Input Costs'!$B$6</f>
        <v>1015.394694</v>
      </c>
      <c r="O27" s="5">
        <v>21.0</v>
      </c>
      <c r="P27" s="5">
        <v>10.0</v>
      </c>
      <c r="Q27" s="6">
        <f t="shared" si="2"/>
        <v>46062</v>
      </c>
      <c r="R27" s="24" t="s">
        <v>169</v>
      </c>
      <c r="S27" s="4"/>
      <c r="T27" s="4"/>
      <c r="U27" s="4"/>
      <c r="V27" s="4"/>
      <c r="W27" s="4"/>
      <c r="X27" s="4"/>
      <c r="Y27" s="4"/>
      <c r="Z27" s="4"/>
    </row>
    <row r="28" ht="14.25" customHeight="1">
      <c r="A28" s="22"/>
      <c r="B28" s="23" t="s">
        <v>170</v>
      </c>
      <c r="C28" s="5" t="s">
        <v>115</v>
      </c>
      <c r="D28" s="5">
        <v>1.0</v>
      </c>
      <c r="E28" s="5">
        <v>20.0</v>
      </c>
      <c r="F28" s="5">
        <f t="shared" si="1"/>
        <v>20</v>
      </c>
      <c r="G28" s="14">
        <v>1.0</v>
      </c>
      <c r="H28" s="5" t="s">
        <v>116</v>
      </c>
      <c r="I28" s="5" t="s">
        <v>117</v>
      </c>
      <c r="J28" s="5" t="s">
        <v>165</v>
      </c>
      <c r="K28" s="5">
        <v>2800.0</v>
      </c>
      <c r="L28" s="5">
        <v>1500.0</v>
      </c>
      <c r="M28" s="5">
        <v>90000.0</v>
      </c>
      <c r="N28" s="5">
        <f>M28/'Input Costs'!$B$6</f>
        <v>982.6400262</v>
      </c>
      <c r="O28" s="5">
        <v>21.0</v>
      </c>
      <c r="P28" s="5">
        <v>10.0</v>
      </c>
      <c r="Q28" s="6">
        <f t="shared" si="2"/>
        <v>46062</v>
      </c>
      <c r="R28" s="24" t="s">
        <v>171</v>
      </c>
      <c r="S28" s="4"/>
      <c r="T28" s="4"/>
      <c r="U28" s="4"/>
      <c r="V28" s="4"/>
      <c r="W28" s="4"/>
      <c r="X28" s="4"/>
      <c r="Y28" s="4"/>
      <c r="Z28" s="4"/>
    </row>
    <row r="29" ht="14.25" customHeight="1">
      <c r="A29" s="25"/>
      <c r="B29" s="23" t="s">
        <v>172</v>
      </c>
      <c r="C29" s="5" t="s">
        <v>115</v>
      </c>
      <c r="D29" s="5">
        <v>1.0</v>
      </c>
      <c r="E29" s="5">
        <v>22.0</v>
      </c>
      <c r="F29" s="5">
        <f t="shared" si="1"/>
        <v>22</v>
      </c>
      <c r="G29" s="14">
        <v>1.0</v>
      </c>
      <c r="H29" s="5" t="s">
        <v>116</v>
      </c>
      <c r="I29" s="5" t="s">
        <v>117</v>
      </c>
      <c r="J29" s="5" t="s">
        <v>165</v>
      </c>
      <c r="K29" s="5">
        <v>2800.0</v>
      </c>
      <c r="L29" s="5">
        <v>1500.0</v>
      </c>
      <c r="M29" s="5">
        <v>88000.0</v>
      </c>
      <c r="N29" s="5">
        <f>M29/'Input Costs'!$B$6</f>
        <v>960.8035812</v>
      </c>
      <c r="O29" s="5">
        <v>21.0</v>
      </c>
      <c r="P29" s="5">
        <v>10.0</v>
      </c>
      <c r="Q29" s="6">
        <f t="shared" si="2"/>
        <v>46062</v>
      </c>
      <c r="R29" s="24" t="s">
        <v>171</v>
      </c>
      <c r="S29" s="4"/>
      <c r="T29" s="4"/>
      <c r="U29" s="4"/>
      <c r="V29" s="4"/>
      <c r="W29" s="4"/>
      <c r="X29" s="4"/>
      <c r="Y29" s="4"/>
      <c r="Z29" s="4"/>
    </row>
    <row r="30" ht="14.25" customHeight="1">
      <c r="A30" s="16" t="s">
        <v>173</v>
      </c>
      <c r="B30" s="23" t="s">
        <v>174</v>
      </c>
      <c r="C30" s="5" t="s">
        <v>115</v>
      </c>
      <c r="D30" s="5">
        <v>1.0</v>
      </c>
      <c r="E30" s="5">
        <v>15.0</v>
      </c>
      <c r="F30" s="5">
        <f t="shared" si="1"/>
        <v>15</v>
      </c>
      <c r="G30" s="14">
        <v>0.8</v>
      </c>
      <c r="H30" s="5" t="s">
        <v>116</v>
      </c>
      <c r="I30" s="5" t="s">
        <v>117</v>
      </c>
      <c r="J30" s="5" t="s">
        <v>118</v>
      </c>
      <c r="K30" s="5">
        <v>2800.0</v>
      </c>
      <c r="L30" s="5">
        <v>1500.0</v>
      </c>
      <c r="M30" s="5">
        <v>95000.0</v>
      </c>
      <c r="N30" s="5">
        <f>M30/'Input Costs'!$B$6</f>
        <v>1037.231139</v>
      </c>
      <c r="O30" s="5">
        <v>21.0</v>
      </c>
      <c r="P30" s="5">
        <v>5.0</v>
      </c>
      <c r="Q30" s="6">
        <f t="shared" si="2"/>
        <v>46062</v>
      </c>
      <c r="R30" s="24" t="s">
        <v>175</v>
      </c>
      <c r="S30" s="4"/>
      <c r="T30" s="4"/>
      <c r="U30" s="4"/>
      <c r="V30" s="4"/>
      <c r="W30" s="4"/>
      <c r="X30" s="4"/>
      <c r="Y30" s="4"/>
      <c r="Z30" s="4"/>
    </row>
    <row r="31" ht="14.25" customHeight="1">
      <c r="A31" s="22"/>
      <c r="B31" s="23" t="s">
        <v>176</v>
      </c>
      <c r="C31" s="5" t="s">
        <v>115</v>
      </c>
      <c r="D31" s="5">
        <v>1.0</v>
      </c>
      <c r="E31" s="5">
        <v>17.0</v>
      </c>
      <c r="F31" s="5">
        <f t="shared" si="1"/>
        <v>17</v>
      </c>
      <c r="G31" s="14">
        <v>0.8</v>
      </c>
      <c r="H31" s="5" t="s">
        <v>116</v>
      </c>
      <c r="I31" s="5" t="s">
        <v>117</v>
      </c>
      <c r="J31" s="5" t="s">
        <v>118</v>
      </c>
      <c r="K31" s="5">
        <v>2800.0</v>
      </c>
      <c r="L31" s="5">
        <v>1500.0</v>
      </c>
      <c r="M31" s="5">
        <v>93000.0</v>
      </c>
      <c r="N31" s="5">
        <f>M31/'Input Costs'!$B$6</f>
        <v>1015.394694</v>
      </c>
      <c r="O31" s="5">
        <v>21.0</v>
      </c>
      <c r="P31" s="5">
        <v>5.0</v>
      </c>
      <c r="Q31" s="6">
        <f t="shared" si="2"/>
        <v>46062</v>
      </c>
      <c r="R31" s="24" t="s">
        <v>175</v>
      </c>
      <c r="S31" s="4"/>
      <c r="T31" s="4"/>
      <c r="U31" s="4"/>
      <c r="V31" s="4"/>
      <c r="W31" s="4"/>
      <c r="X31" s="4"/>
      <c r="Y31" s="4"/>
      <c r="Z31" s="4"/>
    </row>
    <row r="32" ht="14.25" customHeight="1">
      <c r="A32" s="22"/>
      <c r="B32" s="23" t="s">
        <v>177</v>
      </c>
      <c r="C32" s="5" t="s">
        <v>115</v>
      </c>
      <c r="D32" s="5">
        <v>1.0</v>
      </c>
      <c r="E32" s="5">
        <v>18.0</v>
      </c>
      <c r="F32" s="5">
        <f t="shared" si="1"/>
        <v>18</v>
      </c>
      <c r="G32" s="14">
        <v>0.8</v>
      </c>
      <c r="H32" s="5" t="s">
        <v>116</v>
      </c>
      <c r="I32" s="5" t="s">
        <v>117</v>
      </c>
      <c r="J32" s="5" t="s">
        <v>118</v>
      </c>
      <c r="K32" s="5">
        <v>2800.0</v>
      </c>
      <c r="L32" s="5">
        <v>1500.0</v>
      </c>
      <c r="M32" s="5">
        <v>91000.0</v>
      </c>
      <c r="N32" s="5">
        <f>M32/'Input Costs'!$B$6</f>
        <v>993.5582487</v>
      </c>
      <c r="O32" s="5">
        <v>21.0</v>
      </c>
      <c r="P32" s="5">
        <v>5.0</v>
      </c>
      <c r="Q32" s="6">
        <f t="shared" si="2"/>
        <v>46062</v>
      </c>
      <c r="R32" s="24" t="s">
        <v>175</v>
      </c>
      <c r="S32" s="4"/>
      <c r="T32" s="4"/>
      <c r="U32" s="4"/>
      <c r="V32" s="4"/>
      <c r="W32" s="4"/>
      <c r="X32" s="4"/>
      <c r="Y32" s="4"/>
      <c r="Z32" s="4"/>
    </row>
    <row r="33" ht="14.25" customHeight="1">
      <c r="A33" s="22"/>
      <c r="B33" s="23" t="s">
        <v>178</v>
      </c>
      <c r="C33" s="5" t="s">
        <v>115</v>
      </c>
      <c r="D33" s="5">
        <v>1.0</v>
      </c>
      <c r="E33" s="5">
        <v>20.0</v>
      </c>
      <c r="F33" s="5">
        <f t="shared" si="1"/>
        <v>20</v>
      </c>
      <c r="G33" s="14">
        <v>0.8</v>
      </c>
      <c r="H33" s="5" t="s">
        <v>116</v>
      </c>
      <c r="I33" s="5" t="s">
        <v>117</v>
      </c>
      <c r="J33" s="5" t="s">
        <v>118</v>
      </c>
      <c r="K33" s="5">
        <v>2800.0</v>
      </c>
      <c r="L33" s="5">
        <v>1500.0</v>
      </c>
      <c r="M33" s="5">
        <v>89000.0</v>
      </c>
      <c r="N33" s="5">
        <f>M33/'Input Costs'!$B$6</f>
        <v>971.7218037</v>
      </c>
      <c r="O33" s="5">
        <v>21.0</v>
      </c>
      <c r="P33" s="5">
        <v>5.0</v>
      </c>
      <c r="Q33" s="6">
        <f t="shared" si="2"/>
        <v>46062</v>
      </c>
      <c r="R33" s="24" t="s">
        <v>175</v>
      </c>
      <c r="S33" s="4"/>
      <c r="T33" s="4"/>
      <c r="U33" s="4"/>
      <c r="V33" s="4"/>
      <c r="W33" s="4"/>
      <c r="X33" s="4"/>
      <c r="Y33" s="4"/>
      <c r="Z33" s="4"/>
    </row>
    <row r="34" ht="14.25" customHeight="1">
      <c r="A34" s="22"/>
      <c r="B34" s="23" t="s">
        <v>179</v>
      </c>
      <c r="C34" s="5" t="s">
        <v>115</v>
      </c>
      <c r="D34" s="5">
        <v>1.0</v>
      </c>
      <c r="E34" s="5">
        <v>22.0</v>
      </c>
      <c r="F34" s="5">
        <f t="shared" si="1"/>
        <v>22</v>
      </c>
      <c r="G34" s="14">
        <v>0.8</v>
      </c>
      <c r="H34" s="5" t="s">
        <v>116</v>
      </c>
      <c r="I34" s="5" t="s">
        <v>117</v>
      </c>
      <c r="J34" s="5" t="s">
        <v>118</v>
      </c>
      <c r="K34" s="5">
        <v>2800.0</v>
      </c>
      <c r="L34" s="5">
        <v>1500.0</v>
      </c>
      <c r="M34" s="5">
        <v>87000.0</v>
      </c>
      <c r="N34" s="5">
        <f>M34/'Input Costs'!$B$6</f>
        <v>949.8853587</v>
      </c>
      <c r="O34" s="5">
        <v>21.0</v>
      </c>
      <c r="P34" s="5">
        <v>5.0</v>
      </c>
      <c r="Q34" s="6">
        <f t="shared" si="2"/>
        <v>46062</v>
      </c>
      <c r="R34" s="24" t="s">
        <v>175</v>
      </c>
      <c r="S34" s="4"/>
      <c r="T34" s="4"/>
      <c r="U34" s="4"/>
      <c r="V34" s="4"/>
      <c r="W34" s="4"/>
      <c r="X34" s="4"/>
      <c r="Y34" s="4"/>
      <c r="Z34" s="4"/>
    </row>
    <row r="35" ht="14.25" customHeight="1">
      <c r="A35" s="22"/>
      <c r="B35" s="23" t="s">
        <v>180</v>
      </c>
      <c r="C35" s="5" t="s">
        <v>115</v>
      </c>
      <c r="D35" s="5">
        <v>1.0</v>
      </c>
      <c r="E35" s="5">
        <v>15.0</v>
      </c>
      <c r="F35" s="5">
        <f t="shared" si="1"/>
        <v>15</v>
      </c>
      <c r="G35" s="14">
        <v>0.7</v>
      </c>
      <c r="H35" s="5" t="s">
        <v>116</v>
      </c>
      <c r="I35" s="5" t="s">
        <v>117</v>
      </c>
      <c r="J35" s="5" t="s">
        <v>118</v>
      </c>
      <c r="K35" s="5">
        <v>2800.0</v>
      </c>
      <c r="L35" s="5">
        <v>1500.0</v>
      </c>
      <c r="M35" s="5">
        <v>90000.0</v>
      </c>
      <c r="N35" s="5">
        <f>M35/'Input Costs'!$B$6</f>
        <v>982.6400262</v>
      </c>
      <c r="O35" s="5">
        <v>21.0</v>
      </c>
      <c r="P35" s="5">
        <v>5.0</v>
      </c>
      <c r="Q35" s="6">
        <f t="shared" si="2"/>
        <v>46062</v>
      </c>
      <c r="R35" s="24" t="s">
        <v>181</v>
      </c>
      <c r="S35" s="4"/>
      <c r="T35" s="4"/>
      <c r="U35" s="4"/>
      <c r="V35" s="4"/>
      <c r="W35" s="4"/>
      <c r="X35" s="4"/>
      <c r="Y35" s="4"/>
      <c r="Z35" s="4"/>
    </row>
    <row r="36" ht="14.25" customHeight="1">
      <c r="A36" s="22"/>
      <c r="B36" s="23" t="s">
        <v>182</v>
      </c>
      <c r="C36" s="5" t="s">
        <v>115</v>
      </c>
      <c r="D36" s="5">
        <v>1.0</v>
      </c>
      <c r="E36" s="5">
        <v>17.0</v>
      </c>
      <c r="F36" s="5">
        <f t="shared" si="1"/>
        <v>17</v>
      </c>
      <c r="G36" s="14">
        <v>0.7</v>
      </c>
      <c r="H36" s="5" t="s">
        <v>116</v>
      </c>
      <c r="I36" s="5" t="s">
        <v>117</v>
      </c>
      <c r="J36" s="5" t="s">
        <v>118</v>
      </c>
      <c r="K36" s="5">
        <v>2800.0</v>
      </c>
      <c r="L36" s="5">
        <v>1500.0</v>
      </c>
      <c r="M36" s="5">
        <v>88000.0</v>
      </c>
      <c r="N36" s="5">
        <f>M36/'Input Costs'!$B$6</f>
        <v>960.8035812</v>
      </c>
      <c r="O36" s="5">
        <v>21.0</v>
      </c>
      <c r="P36" s="5">
        <v>5.0</v>
      </c>
      <c r="Q36" s="6">
        <f t="shared" si="2"/>
        <v>46062</v>
      </c>
      <c r="R36" s="24" t="s">
        <v>181</v>
      </c>
      <c r="S36" s="4"/>
      <c r="T36" s="4"/>
      <c r="U36" s="4"/>
      <c r="V36" s="4"/>
      <c r="W36" s="4"/>
      <c r="X36" s="4"/>
      <c r="Y36" s="4"/>
      <c r="Z36" s="4"/>
    </row>
    <row r="37" ht="14.25" customHeight="1">
      <c r="A37" s="22"/>
      <c r="B37" s="23" t="s">
        <v>183</v>
      </c>
      <c r="C37" s="5" t="s">
        <v>115</v>
      </c>
      <c r="D37" s="5">
        <v>1.0</v>
      </c>
      <c r="E37" s="5">
        <v>18.0</v>
      </c>
      <c r="F37" s="5">
        <f t="shared" si="1"/>
        <v>18</v>
      </c>
      <c r="G37" s="14">
        <v>0.7</v>
      </c>
      <c r="H37" s="5" t="s">
        <v>116</v>
      </c>
      <c r="I37" s="5" t="s">
        <v>117</v>
      </c>
      <c r="J37" s="5" t="s">
        <v>118</v>
      </c>
      <c r="K37" s="5">
        <v>2800.0</v>
      </c>
      <c r="L37" s="5">
        <v>1500.0</v>
      </c>
      <c r="M37" s="5">
        <v>86000.0</v>
      </c>
      <c r="N37" s="5">
        <f>M37/'Input Costs'!$B$6</f>
        <v>938.9671362</v>
      </c>
      <c r="O37" s="5">
        <v>21.0</v>
      </c>
      <c r="P37" s="5">
        <v>5.0</v>
      </c>
      <c r="Q37" s="6">
        <f t="shared" si="2"/>
        <v>46062</v>
      </c>
      <c r="R37" s="24" t="s">
        <v>181</v>
      </c>
      <c r="S37" s="4"/>
      <c r="T37" s="4"/>
      <c r="U37" s="4"/>
      <c r="V37" s="4"/>
      <c r="W37" s="4"/>
      <c r="X37" s="4"/>
      <c r="Y37" s="4"/>
      <c r="Z37" s="4"/>
    </row>
    <row r="38" ht="14.25" customHeight="1">
      <c r="A38" s="22"/>
      <c r="B38" s="23" t="s">
        <v>184</v>
      </c>
      <c r="C38" s="5" t="s">
        <v>115</v>
      </c>
      <c r="D38" s="5">
        <v>1.0</v>
      </c>
      <c r="E38" s="5">
        <v>20.0</v>
      </c>
      <c r="F38" s="5">
        <f t="shared" si="1"/>
        <v>20</v>
      </c>
      <c r="G38" s="14">
        <v>0.7</v>
      </c>
      <c r="H38" s="5" t="s">
        <v>116</v>
      </c>
      <c r="I38" s="5" t="s">
        <v>117</v>
      </c>
      <c r="J38" s="5" t="s">
        <v>118</v>
      </c>
      <c r="K38" s="5">
        <v>2800.0</v>
      </c>
      <c r="L38" s="5">
        <v>1500.0</v>
      </c>
      <c r="M38" s="5">
        <v>84000.0</v>
      </c>
      <c r="N38" s="5">
        <f>M38/'Input Costs'!$B$6</f>
        <v>917.1306911</v>
      </c>
      <c r="O38" s="5">
        <v>21.0</v>
      </c>
      <c r="P38" s="5">
        <v>5.0</v>
      </c>
      <c r="Q38" s="6">
        <f t="shared" si="2"/>
        <v>46062</v>
      </c>
      <c r="R38" s="24" t="s">
        <v>181</v>
      </c>
      <c r="S38" s="4"/>
      <c r="T38" s="4"/>
      <c r="U38" s="4"/>
      <c r="V38" s="4"/>
      <c r="W38" s="4"/>
      <c r="X38" s="4"/>
      <c r="Y38" s="4"/>
      <c r="Z38" s="4"/>
    </row>
    <row r="39" ht="14.25" customHeight="1">
      <c r="A39" s="22"/>
      <c r="B39" s="23" t="s">
        <v>185</v>
      </c>
      <c r="C39" s="5" t="s">
        <v>115</v>
      </c>
      <c r="D39" s="5">
        <v>1.0</v>
      </c>
      <c r="E39" s="5">
        <v>22.0</v>
      </c>
      <c r="F39" s="5">
        <f t="shared" si="1"/>
        <v>22</v>
      </c>
      <c r="G39" s="14">
        <v>0.7</v>
      </c>
      <c r="H39" s="5" t="s">
        <v>116</v>
      </c>
      <c r="I39" s="5" t="s">
        <v>117</v>
      </c>
      <c r="J39" s="5" t="s">
        <v>118</v>
      </c>
      <c r="K39" s="5">
        <v>2800.0</v>
      </c>
      <c r="L39" s="5">
        <v>1500.0</v>
      </c>
      <c r="M39" s="5">
        <v>82000.0</v>
      </c>
      <c r="N39" s="5">
        <f>M39/'Input Costs'!$B$6</f>
        <v>895.2942461</v>
      </c>
      <c r="O39" s="5">
        <v>21.0</v>
      </c>
      <c r="P39" s="5">
        <v>5.0</v>
      </c>
      <c r="Q39" s="6">
        <f t="shared" si="2"/>
        <v>46062</v>
      </c>
      <c r="R39" s="24" t="s">
        <v>181</v>
      </c>
      <c r="S39" s="4"/>
      <c r="T39" s="4"/>
      <c r="U39" s="4"/>
      <c r="V39" s="4"/>
      <c r="W39" s="4"/>
      <c r="X39" s="4"/>
      <c r="Y39" s="4"/>
      <c r="Z39" s="4"/>
    </row>
    <row r="40" ht="14.25" customHeight="1">
      <c r="A40" s="22"/>
      <c r="B40" s="23" t="s">
        <v>186</v>
      </c>
      <c r="C40" s="5" t="s">
        <v>115</v>
      </c>
      <c r="D40" s="5">
        <v>1.0</v>
      </c>
      <c r="E40" s="5">
        <v>15.0</v>
      </c>
      <c r="F40" s="5">
        <f t="shared" si="1"/>
        <v>15</v>
      </c>
      <c r="G40" s="14">
        <v>0.5</v>
      </c>
      <c r="H40" s="5" t="s">
        <v>116</v>
      </c>
      <c r="I40" s="5" t="s">
        <v>117</v>
      </c>
      <c r="J40" s="5" t="s">
        <v>118</v>
      </c>
      <c r="K40" s="5">
        <v>2800.0</v>
      </c>
      <c r="L40" s="5">
        <v>1500.0</v>
      </c>
      <c r="M40" s="5">
        <v>82000.0</v>
      </c>
      <c r="N40" s="5">
        <f>M40/'Input Costs'!$B$6</f>
        <v>895.2942461</v>
      </c>
      <c r="O40" s="5">
        <v>21.0</v>
      </c>
      <c r="P40" s="5">
        <v>5.0</v>
      </c>
      <c r="Q40" s="6">
        <f t="shared" si="2"/>
        <v>46062</v>
      </c>
      <c r="R40" s="24" t="s">
        <v>187</v>
      </c>
      <c r="S40" s="4"/>
      <c r="T40" s="4"/>
      <c r="U40" s="4"/>
      <c r="V40" s="4"/>
      <c r="W40" s="4"/>
      <c r="X40" s="4"/>
      <c r="Y40" s="4"/>
      <c r="Z40" s="4"/>
    </row>
    <row r="41" ht="14.25" customHeight="1">
      <c r="A41" s="22"/>
      <c r="B41" s="23" t="s">
        <v>188</v>
      </c>
      <c r="C41" s="5" t="s">
        <v>115</v>
      </c>
      <c r="D41" s="5">
        <v>1.0</v>
      </c>
      <c r="E41" s="5">
        <v>17.0</v>
      </c>
      <c r="F41" s="5">
        <f t="shared" si="1"/>
        <v>17</v>
      </c>
      <c r="G41" s="14">
        <v>0.5</v>
      </c>
      <c r="H41" s="5" t="s">
        <v>116</v>
      </c>
      <c r="I41" s="5" t="s">
        <v>117</v>
      </c>
      <c r="J41" s="5" t="s">
        <v>118</v>
      </c>
      <c r="K41" s="5">
        <v>2800.0</v>
      </c>
      <c r="L41" s="5">
        <v>1500.0</v>
      </c>
      <c r="M41" s="5">
        <v>80000.0</v>
      </c>
      <c r="N41" s="5">
        <f>M41/'Input Costs'!$B$6</f>
        <v>873.4578011</v>
      </c>
      <c r="O41" s="5">
        <v>21.0</v>
      </c>
      <c r="P41" s="5">
        <v>5.0</v>
      </c>
      <c r="Q41" s="6">
        <f t="shared" si="2"/>
        <v>46062</v>
      </c>
      <c r="R41" s="24" t="s">
        <v>187</v>
      </c>
      <c r="S41" s="4"/>
      <c r="T41" s="4"/>
      <c r="U41" s="4"/>
      <c r="V41" s="4"/>
      <c r="W41" s="4"/>
      <c r="X41" s="4"/>
      <c r="Y41" s="4"/>
      <c r="Z41" s="4"/>
    </row>
    <row r="42" ht="14.25" customHeight="1">
      <c r="A42" s="22"/>
      <c r="B42" s="23" t="s">
        <v>189</v>
      </c>
      <c r="C42" s="5" t="s">
        <v>115</v>
      </c>
      <c r="D42" s="5">
        <v>1.0</v>
      </c>
      <c r="E42" s="5">
        <v>18.0</v>
      </c>
      <c r="F42" s="5">
        <f t="shared" si="1"/>
        <v>18</v>
      </c>
      <c r="G42" s="14">
        <v>0.5</v>
      </c>
      <c r="H42" s="5" t="s">
        <v>116</v>
      </c>
      <c r="I42" s="5" t="s">
        <v>117</v>
      </c>
      <c r="J42" s="5" t="s">
        <v>118</v>
      </c>
      <c r="K42" s="5">
        <v>2800.0</v>
      </c>
      <c r="L42" s="5">
        <v>1500.0</v>
      </c>
      <c r="M42" s="5">
        <v>78000.0</v>
      </c>
      <c r="N42" s="5">
        <f>M42/'Input Costs'!$B$6</f>
        <v>851.621356</v>
      </c>
      <c r="O42" s="5">
        <v>21.0</v>
      </c>
      <c r="P42" s="5">
        <v>5.0</v>
      </c>
      <c r="Q42" s="6">
        <f t="shared" si="2"/>
        <v>46062</v>
      </c>
      <c r="R42" s="24" t="s">
        <v>187</v>
      </c>
      <c r="S42" s="4"/>
      <c r="T42" s="4"/>
      <c r="U42" s="4"/>
      <c r="V42" s="4"/>
      <c r="W42" s="4"/>
      <c r="X42" s="4"/>
      <c r="Y42" s="4"/>
      <c r="Z42" s="4"/>
    </row>
    <row r="43" ht="14.25" customHeight="1">
      <c r="A43" s="22"/>
      <c r="B43" s="23" t="s">
        <v>190</v>
      </c>
      <c r="C43" s="5" t="s">
        <v>115</v>
      </c>
      <c r="D43" s="5">
        <v>1.0</v>
      </c>
      <c r="E43" s="5">
        <v>20.0</v>
      </c>
      <c r="F43" s="5">
        <f t="shared" si="1"/>
        <v>20</v>
      </c>
      <c r="G43" s="14">
        <v>0.5</v>
      </c>
      <c r="H43" s="5" t="s">
        <v>116</v>
      </c>
      <c r="I43" s="5" t="s">
        <v>117</v>
      </c>
      <c r="J43" s="5" t="s">
        <v>118</v>
      </c>
      <c r="K43" s="5">
        <v>2800.0</v>
      </c>
      <c r="L43" s="5">
        <v>1500.0</v>
      </c>
      <c r="M43" s="5">
        <v>76000.0</v>
      </c>
      <c r="N43" s="5">
        <f>M43/'Input Costs'!$B$6</f>
        <v>829.784911</v>
      </c>
      <c r="O43" s="5">
        <v>21.0</v>
      </c>
      <c r="P43" s="5">
        <v>5.0</v>
      </c>
      <c r="Q43" s="6">
        <f t="shared" si="2"/>
        <v>46062</v>
      </c>
      <c r="R43" s="24" t="s">
        <v>187</v>
      </c>
      <c r="S43" s="4"/>
      <c r="T43" s="4"/>
      <c r="U43" s="4"/>
      <c r="V43" s="4"/>
      <c r="W43" s="4"/>
      <c r="X43" s="4"/>
      <c r="Y43" s="4"/>
      <c r="Z43" s="4"/>
    </row>
    <row r="44" ht="14.25" customHeight="1">
      <c r="A44" s="22"/>
      <c r="B44" s="23" t="s">
        <v>191</v>
      </c>
      <c r="C44" s="5" t="s">
        <v>115</v>
      </c>
      <c r="D44" s="5">
        <v>1.0</v>
      </c>
      <c r="E44" s="5">
        <v>22.0</v>
      </c>
      <c r="F44" s="5">
        <f t="shared" si="1"/>
        <v>22</v>
      </c>
      <c r="G44" s="14">
        <v>0.5</v>
      </c>
      <c r="H44" s="5" t="s">
        <v>116</v>
      </c>
      <c r="I44" s="5" t="s">
        <v>117</v>
      </c>
      <c r="J44" s="5" t="s">
        <v>118</v>
      </c>
      <c r="K44" s="5">
        <v>2800.0</v>
      </c>
      <c r="L44" s="5">
        <v>1500.0</v>
      </c>
      <c r="M44" s="5">
        <v>74000.0</v>
      </c>
      <c r="N44" s="5">
        <f>M44/'Input Costs'!$B$6</f>
        <v>807.948466</v>
      </c>
      <c r="O44" s="5">
        <v>21.0</v>
      </c>
      <c r="P44" s="5">
        <v>5.0</v>
      </c>
      <c r="Q44" s="6">
        <f t="shared" si="2"/>
        <v>46062</v>
      </c>
      <c r="R44" s="24" t="s">
        <v>187</v>
      </c>
      <c r="S44" s="4"/>
      <c r="T44" s="4"/>
      <c r="U44" s="4"/>
      <c r="V44" s="4"/>
      <c r="W44" s="4"/>
      <c r="X44" s="4"/>
      <c r="Y44" s="4"/>
      <c r="Z44" s="4"/>
    </row>
    <row r="45" ht="14.25" customHeight="1">
      <c r="A45" s="22"/>
      <c r="B45" s="23" t="s">
        <v>192</v>
      </c>
      <c r="C45" s="5" t="s">
        <v>115</v>
      </c>
      <c r="D45" s="5">
        <v>1.0</v>
      </c>
      <c r="E45" s="5">
        <v>17.0</v>
      </c>
      <c r="F45" s="5">
        <f t="shared" si="1"/>
        <v>17</v>
      </c>
      <c r="G45" s="14">
        <v>0.3</v>
      </c>
      <c r="H45" s="5" t="s">
        <v>116</v>
      </c>
      <c r="I45" s="5" t="s">
        <v>117</v>
      </c>
      <c r="J45" s="5" t="s">
        <v>118</v>
      </c>
      <c r="K45" s="5">
        <v>2800.0</v>
      </c>
      <c r="L45" s="5">
        <v>1500.0</v>
      </c>
      <c r="M45" s="5">
        <v>72000.0</v>
      </c>
      <c r="N45" s="5">
        <f>M45/'Input Costs'!$B$6</f>
        <v>786.112021</v>
      </c>
      <c r="O45" s="5">
        <v>21.0</v>
      </c>
      <c r="P45" s="5">
        <v>5.0</v>
      </c>
      <c r="Q45" s="6">
        <f t="shared" si="2"/>
        <v>46062</v>
      </c>
      <c r="R45" s="24" t="s">
        <v>193</v>
      </c>
      <c r="S45" s="4"/>
      <c r="T45" s="4"/>
      <c r="U45" s="4"/>
      <c r="V45" s="4"/>
      <c r="W45" s="4"/>
      <c r="X45" s="4"/>
      <c r="Y45" s="4"/>
      <c r="Z45" s="4"/>
    </row>
    <row r="46" ht="14.25" customHeight="1">
      <c r="A46" s="22"/>
      <c r="B46" s="23" t="s">
        <v>194</v>
      </c>
      <c r="C46" s="5" t="s">
        <v>115</v>
      </c>
      <c r="D46" s="5">
        <v>1.0</v>
      </c>
      <c r="E46" s="5">
        <v>18.0</v>
      </c>
      <c r="F46" s="5">
        <f t="shared" si="1"/>
        <v>18</v>
      </c>
      <c r="G46" s="14">
        <v>0.3</v>
      </c>
      <c r="H46" s="5" t="s">
        <v>116</v>
      </c>
      <c r="I46" s="5" t="s">
        <v>117</v>
      </c>
      <c r="J46" s="5" t="s">
        <v>118</v>
      </c>
      <c r="K46" s="5">
        <v>2800.0</v>
      </c>
      <c r="L46" s="5">
        <v>1500.0</v>
      </c>
      <c r="M46" s="5">
        <v>70000.0</v>
      </c>
      <c r="N46" s="5">
        <f>M46/'Input Costs'!$B$6</f>
        <v>764.2755759</v>
      </c>
      <c r="O46" s="5">
        <v>21.0</v>
      </c>
      <c r="P46" s="5">
        <v>5.0</v>
      </c>
      <c r="Q46" s="6">
        <f t="shared" si="2"/>
        <v>46062</v>
      </c>
      <c r="R46" s="24" t="s">
        <v>193</v>
      </c>
      <c r="S46" s="4"/>
      <c r="T46" s="4"/>
      <c r="U46" s="4"/>
      <c r="V46" s="4"/>
      <c r="W46" s="4"/>
      <c r="X46" s="4"/>
      <c r="Y46" s="4"/>
      <c r="Z46" s="4"/>
    </row>
    <row r="47" ht="14.25" customHeight="1">
      <c r="A47" s="22"/>
      <c r="B47" s="23" t="s">
        <v>195</v>
      </c>
      <c r="C47" s="5" t="s">
        <v>115</v>
      </c>
      <c r="D47" s="5">
        <v>1.0</v>
      </c>
      <c r="E47" s="5">
        <v>20.0</v>
      </c>
      <c r="F47" s="5">
        <f t="shared" si="1"/>
        <v>20</v>
      </c>
      <c r="G47" s="14">
        <v>0.3</v>
      </c>
      <c r="H47" s="5" t="s">
        <v>116</v>
      </c>
      <c r="I47" s="5" t="s">
        <v>117</v>
      </c>
      <c r="J47" s="5" t="s">
        <v>118</v>
      </c>
      <c r="K47" s="5">
        <v>2800.0</v>
      </c>
      <c r="L47" s="5">
        <v>1500.0</v>
      </c>
      <c r="M47" s="5">
        <v>68000.0</v>
      </c>
      <c r="N47" s="5">
        <f>M47/'Input Costs'!$B$6</f>
        <v>742.4391309</v>
      </c>
      <c r="O47" s="5">
        <v>21.0</v>
      </c>
      <c r="P47" s="5">
        <v>5.0</v>
      </c>
      <c r="Q47" s="6">
        <f t="shared" si="2"/>
        <v>46062</v>
      </c>
      <c r="R47" s="24" t="s">
        <v>193</v>
      </c>
      <c r="S47" s="4"/>
      <c r="T47" s="4"/>
      <c r="U47" s="4"/>
      <c r="V47" s="4"/>
      <c r="W47" s="4"/>
      <c r="X47" s="4"/>
      <c r="Y47" s="4"/>
      <c r="Z47" s="4"/>
    </row>
    <row r="48" ht="14.25" customHeight="1">
      <c r="A48" s="25"/>
      <c r="B48" s="23" t="s">
        <v>196</v>
      </c>
      <c r="C48" s="5" t="s">
        <v>115</v>
      </c>
      <c r="D48" s="5">
        <v>1.0</v>
      </c>
      <c r="E48" s="5">
        <v>22.0</v>
      </c>
      <c r="F48" s="5">
        <f t="shared" si="1"/>
        <v>22</v>
      </c>
      <c r="G48" s="14">
        <v>0.3</v>
      </c>
      <c r="H48" s="5" t="s">
        <v>116</v>
      </c>
      <c r="I48" s="5" t="s">
        <v>117</v>
      </c>
      <c r="J48" s="5" t="s">
        <v>118</v>
      </c>
      <c r="K48" s="5">
        <v>2800.0</v>
      </c>
      <c r="L48" s="5">
        <v>1500.0</v>
      </c>
      <c r="M48" s="5">
        <v>66000.0</v>
      </c>
      <c r="N48" s="5">
        <f>M48/'Input Costs'!$B$6</f>
        <v>720.6026859</v>
      </c>
      <c r="O48" s="5">
        <v>21.0</v>
      </c>
      <c r="P48" s="5">
        <v>5.0</v>
      </c>
      <c r="Q48" s="6">
        <f t="shared" si="2"/>
        <v>46062</v>
      </c>
      <c r="R48" s="24" t="s">
        <v>193</v>
      </c>
      <c r="S48" s="4"/>
      <c r="T48" s="4"/>
      <c r="U48" s="4"/>
      <c r="V48" s="4"/>
      <c r="W48" s="4"/>
      <c r="X48" s="4"/>
      <c r="Y48" s="4"/>
      <c r="Z48" s="4"/>
    </row>
    <row r="49" ht="14.25" customHeight="1">
      <c r="A49" s="16" t="s">
        <v>197</v>
      </c>
      <c r="B49" s="23" t="s">
        <v>198</v>
      </c>
      <c r="C49" s="5" t="s">
        <v>115</v>
      </c>
      <c r="D49" s="5">
        <v>1.0</v>
      </c>
      <c r="E49" s="5">
        <v>17.0</v>
      </c>
      <c r="F49" s="5">
        <f t="shared" si="1"/>
        <v>17</v>
      </c>
      <c r="G49" s="14">
        <v>0.0</v>
      </c>
      <c r="H49" s="5" t="s">
        <v>116</v>
      </c>
      <c r="I49" s="5" t="s">
        <v>117</v>
      </c>
      <c r="J49" s="5" t="s">
        <v>165</v>
      </c>
      <c r="K49" s="5">
        <v>2800.0</v>
      </c>
      <c r="L49" s="5">
        <v>1500.0</v>
      </c>
      <c r="M49" s="5">
        <v>62000.0</v>
      </c>
      <c r="N49" s="5">
        <f>M49/'Input Costs'!$B$6</f>
        <v>676.9297958</v>
      </c>
      <c r="O49" s="5">
        <v>21.0</v>
      </c>
      <c r="P49" s="5">
        <v>10.0</v>
      </c>
      <c r="Q49" s="6">
        <f t="shared" si="2"/>
        <v>46062</v>
      </c>
      <c r="R49" s="24" t="s">
        <v>199</v>
      </c>
      <c r="S49" s="4"/>
      <c r="T49" s="4"/>
      <c r="U49" s="4"/>
      <c r="V49" s="4"/>
      <c r="W49" s="4"/>
      <c r="X49" s="4"/>
      <c r="Y49" s="4"/>
      <c r="Z49" s="4"/>
    </row>
    <row r="50" ht="14.25" customHeight="1">
      <c r="A50" s="22"/>
      <c r="B50" s="23" t="s">
        <v>200</v>
      </c>
      <c r="C50" s="5" t="s">
        <v>115</v>
      </c>
      <c r="D50" s="5">
        <v>1.0</v>
      </c>
      <c r="E50" s="5">
        <v>18.0</v>
      </c>
      <c r="F50" s="5">
        <f t="shared" si="1"/>
        <v>18</v>
      </c>
      <c r="G50" s="14">
        <v>0.0</v>
      </c>
      <c r="H50" s="5" t="s">
        <v>116</v>
      </c>
      <c r="I50" s="5" t="s">
        <v>117</v>
      </c>
      <c r="J50" s="5" t="s">
        <v>165</v>
      </c>
      <c r="K50" s="5">
        <v>2800.0</v>
      </c>
      <c r="L50" s="5">
        <v>1500.0</v>
      </c>
      <c r="M50" s="5">
        <v>60000.0</v>
      </c>
      <c r="N50" s="5">
        <f>M50/'Input Costs'!$B$6</f>
        <v>655.0933508</v>
      </c>
      <c r="O50" s="5">
        <v>21.0</v>
      </c>
      <c r="P50" s="5">
        <v>10.0</v>
      </c>
      <c r="Q50" s="6">
        <f t="shared" si="2"/>
        <v>46062</v>
      </c>
      <c r="R50" s="24" t="s">
        <v>199</v>
      </c>
      <c r="S50" s="4"/>
      <c r="T50" s="4"/>
      <c r="U50" s="4"/>
      <c r="V50" s="4"/>
      <c r="W50" s="4"/>
      <c r="X50" s="4"/>
      <c r="Y50" s="4"/>
      <c r="Z50" s="4"/>
    </row>
    <row r="51" ht="14.25" customHeight="1">
      <c r="A51" s="22"/>
      <c r="B51" s="23" t="s">
        <v>201</v>
      </c>
      <c r="C51" s="5" t="s">
        <v>115</v>
      </c>
      <c r="D51" s="5">
        <v>1.0</v>
      </c>
      <c r="E51" s="5">
        <v>20.0</v>
      </c>
      <c r="F51" s="5">
        <f t="shared" si="1"/>
        <v>20</v>
      </c>
      <c r="G51" s="14">
        <v>0.0</v>
      </c>
      <c r="H51" s="5" t="s">
        <v>116</v>
      </c>
      <c r="I51" s="5" t="s">
        <v>117</v>
      </c>
      <c r="J51" s="5" t="s">
        <v>165</v>
      </c>
      <c r="K51" s="5">
        <v>2800.0</v>
      </c>
      <c r="L51" s="5">
        <v>1500.0</v>
      </c>
      <c r="M51" s="5">
        <v>58000.0</v>
      </c>
      <c r="N51" s="5">
        <f>M51/'Input Costs'!$B$6</f>
        <v>633.2569058</v>
      </c>
      <c r="O51" s="5">
        <v>21.0</v>
      </c>
      <c r="P51" s="5">
        <v>10.0</v>
      </c>
      <c r="Q51" s="6">
        <f t="shared" si="2"/>
        <v>46062</v>
      </c>
      <c r="R51" s="24" t="s">
        <v>199</v>
      </c>
      <c r="S51" s="4"/>
      <c r="T51" s="4"/>
      <c r="U51" s="4"/>
      <c r="V51" s="4"/>
      <c r="W51" s="4"/>
      <c r="X51" s="4"/>
      <c r="Y51" s="4"/>
      <c r="Z51" s="4"/>
    </row>
    <row r="52" ht="14.25" customHeight="1">
      <c r="A52" s="22"/>
      <c r="B52" s="23" t="s">
        <v>202</v>
      </c>
      <c r="C52" s="5" t="s">
        <v>115</v>
      </c>
      <c r="D52" s="5">
        <v>1.0</v>
      </c>
      <c r="E52" s="5">
        <v>22.0</v>
      </c>
      <c r="F52" s="5">
        <f t="shared" si="1"/>
        <v>22</v>
      </c>
      <c r="G52" s="14">
        <v>0.0</v>
      </c>
      <c r="H52" s="5" t="s">
        <v>116</v>
      </c>
      <c r="I52" s="5" t="s">
        <v>117</v>
      </c>
      <c r="J52" s="5" t="s">
        <v>165</v>
      </c>
      <c r="K52" s="5">
        <v>2800.0</v>
      </c>
      <c r="L52" s="5">
        <v>1500.0</v>
      </c>
      <c r="M52" s="5">
        <v>56000.0</v>
      </c>
      <c r="N52" s="5">
        <f>M52/'Input Costs'!$B$6</f>
        <v>611.4204607</v>
      </c>
      <c r="O52" s="5">
        <v>21.0</v>
      </c>
      <c r="P52" s="5">
        <v>10.0</v>
      </c>
      <c r="Q52" s="6">
        <f t="shared" si="2"/>
        <v>46062</v>
      </c>
      <c r="R52" s="24" t="s">
        <v>199</v>
      </c>
      <c r="S52" s="4"/>
      <c r="T52" s="4"/>
      <c r="U52" s="4"/>
      <c r="V52" s="4"/>
      <c r="W52" s="4"/>
      <c r="X52" s="4"/>
      <c r="Y52" s="4"/>
      <c r="Z52" s="4"/>
    </row>
    <row r="53" ht="14.25" customHeight="1">
      <c r="A53" s="25"/>
      <c r="B53" s="23" t="s">
        <v>203</v>
      </c>
      <c r="C53" s="5" t="s">
        <v>115</v>
      </c>
      <c r="D53" s="5">
        <v>1.0</v>
      </c>
      <c r="E53" s="5">
        <v>25.0</v>
      </c>
      <c r="F53" s="5">
        <f t="shared" si="1"/>
        <v>25</v>
      </c>
      <c r="G53" s="14">
        <v>0.0</v>
      </c>
      <c r="H53" s="5" t="s">
        <v>116</v>
      </c>
      <c r="I53" s="5" t="s">
        <v>117</v>
      </c>
      <c r="J53" s="5" t="s">
        <v>165</v>
      </c>
      <c r="K53" s="5">
        <v>2800.0</v>
      </c>
      <c r="L53" s="5">
        <v>1500.0</v>
      </c>
      <c r="M53" s="5">
        <v>54000.0</v>
      </c>
      <c r="N53" s="5">
        <f>M53/'Input Costs'!$B$6</f>
        <v>589.5840157</v>
      </c>
      <c r="O53" s="5">
        <v>21.0</v>
      </c>
      <c r="P53" s="5">
        <v>10.0</v>
      </c>
      <c r="Q53" s="6">
        <f t="shared" si="2"/>
        <v>46062</v>
      </c>
      <c r="R53" s="24" t="s">
        <v>199</v>
      </c>
      <c r="S53" s="4"/>
      <c r="T53" s="4"/>
      <c r="U53" s="4"/>
      <c r="V53" s="4"/>
      <c r="W53" s="4"/>
      <c r="X53" s="4"/>
      <c r="Y53" s="4"/>
      <c r="Z53" s="4"/>
    </row>
    <row r="54" ht="14.25" customHeight="1">
      <c r="A54" s="16" t="s">
        <v>204</v>
      </c>
      <c r="B54" s="23" t="s">
        <v>205</v>
      </c>
      <c r="C54" s="5" t="s">
        <v>115</v>
      </c>
      <c r="D54" s="5">
        <v>1.0</v>
      </c>
      <c r="E54" s="5">
        <v>18.0</v>
      </c>
      <c r="F54" s="5">
        <f t="shared" si="1"/>
        <v>18</v>
      </c>
      <c r="G54" s="14">
        <v>1.0</v>
      </c>
      <c r="H54" s="5" t="s">
        <v>206</v>
      </c>
      <c r="I54" s="5" t="s">
        <v>117</v>
      </c>
      <c r="J54" s="5" t="s">
        <v>118</v>
      </c>
      <c r="K54" s="5">
        <v>2800.0</v>
      </c>
      <c r="L54" s="5">
        <v>1500.0</v>
      </c>
      <c r="M54" s="5">
        <v>115000.0</v>
      </c>
      <c r="N54" s="5">
        <f>M54/'Input Costs'!$B$6</f>
        <v>1255.595589</v>
      </c>
      <c r="O54" s="5">
        <v>25.0</v>
      </c>
      <c r="P54" s="5">
        <v>5.0</v>
      </c>
      <c r="Q54" s="6">
        <f t="shared" si="2"/>
        <v>46062</v>
      </c>
      <c r="R54" s="24" t="s">
        <v>207</v>
      </c>
      <c r="S54" s="4"/>
      <c r="T54" s="4"/>
      <c r="U54" s="4"/>
      <c r="V54" s="4"/>
      <c r="W54" s="4"/>
      <c r="X54" s="4"/>
      <c r="Y54" s="4"/>
      <c r="Z54" s="4"/>
    </row>
    <row r="55" ht="14.25" customHeight="1">
      <c r="A55" s="22"/>
      <c r="B55" s="23" t="s">
        <v>208</v>
      </c>
      <c r="C55" s="5" t="s">
        <v>115</v>
      </c>
      <c r="D55" s="5">
        <v>1.0</v>
      </c>
      <c r="E55" s="5">
        <v>20.0</v>
      </c>
      <c r="F55" s="5">
        <f t="shared" si="1"/>
        <v>20</v>
      </c>
      <c r="G55" s="14">
        <v>1.0</v>
      </c>
      <c r="H55" s="5" t="s">
        <v>206</v>
      </c>
      <c r="I55" s="5" t="s">
        <v>117</v>
      </c>
      <c r="J55" s="5" t="s">
        <v>118</v>
      </c>
      <c r="K55" s="5">
        <v>2800.0</v>
      </c>
      <c r="L55" s="5">
        <v>1500.0</v>
      </c>
      <c r="M55" s="5">
        <v>112000.0</v>
      </c>
      <c r="N55" s="5">
        <f>M55/'Input Costs'!$B$6</f>
        <v>1222.840921</v>
      </c>
      <c r="O55" s="5">
        <v>25.0</v>
      </c>
      <c r="P55" s="5">
        <v>5.0</v>
      </c>
      <c r="Q55" s="6">
        <f t="shared" si="2"/>
        <v>46062</v>
      </c>
      <c r="R55" s="24" t="s">
        <v>209</v>
      </c>
      <c r="S55" s="4"/>
      <c r="T55" s="4"/>
      <c r="U55" s="4"/>
      <c r="V55" s="4"/>
      <c r="W55" s="4"/>
      <c r="X55" s="4"/>
      <c r="Y55" s="4"/>
      <c r="Z55" s="4"/>
    </row>
    <row r="56" ht="14.25" customHeight="1">
      <c r="A56" s="22"/>
      <c r="B56" s="23" t="s">
        <v>210</v>
      </c>
      <c r="C56" s="5" t="s">
        <v>115</v>
      </c>
      <c r="D56" s="5">
        <v>1.0</v>
      </c>
      <c r="E56" s="5">
        <v>22.0</v>
      </c>
      <c r="F56" s="5">
        <f t="shared" si="1"/>
        <v>22</v>
      </c>
      <c r="G56" s="14">
        <v>1.0</v>
      </c>
      <c r="H56" s="5" t="s">
        <v>206</v>
      </c>
      <c r="I56" s="5" t="s">
        <v>117</v>
      </c>
      <c r="J56" s="5" t="s">
        <v>118</v>
      </c>
      <c r="K56" s="5">
        <v>2800.0</v>
      </c>
      <c r="L56" s="5">
        <v>1500.0</v>
      </c>
      <c r="M56" s="5">
        <v>110000.0</v>
      </c>
      <c r="N56" s="5">
        <f>M56/'Input Costs'!$B$6</f>
        <v>1201.004476</v>
      </c>
      <c r="O56" s="5">
        <v>25.0</v>
      </c>
      <c r="P56" s="5">
        <v>5.0</v>
      </c>
      <c r="Q56" s="6">
        <f t="shared" si="2"/>
        <v>46062</v>
      </c>
      <c r="R56" s="24" t="s">
        <v>209</v>
      </c>
      <c r="S56" s="4"/>
      <c r="T56" s="4"/>
      <c r="U56" s="4"/>
      <c r="V56" s="4"/>
      <c r="W56" s="4"/>
      <c r="X56" s="4"/>
      <c r="Y56" s="4"/>
      <c r="Z56" s="4"/>
    </row>
    <row r="57" ht="14.25" customHeight="1">
      <c r="A57" s="22"/>
      <c r="B57" s="23" t="s">
        <v>211</v>
      </c>
      <c r="C57" s="5" t="s">
        <v>115</v>
      </c>
      <c r="D57" s="5">
        <v>1.0</v>
      </c>
      <c r="E57" s="5">
        <v>24.0</v>
      </c>
      <c r="F57" s="5">
        <f t="shared" si="1"/>
        <v>24</v>
      </c>
      <c r="G57" s="14">
        <v>1.0</v>
      </c>
      <c r="H57" s="5" t="s">
        <v>206</v>
      </c>
      <c r="I57" s="5" t="s">
        <v>117</v>
      </c>
      <c r="J57" s="5" t="s">
        <v>118</v>
      </c>
      <c r="K57" s="5">
        <v>2800.0</v>
      </c>
      <c r="L57" s="5">
        <v>1500.0</v>
      </c>
      <c r="M57" s="5">
        <v>108000.0</v>
      </c>
      <c r="N57" s="5">
        <f>M57/'Input Costs'!$B$6</f>
        <v>1179.168031</v>
      </c>
      <c r="O57" s="5">
        <v>25.0</v>
      </c>
      <c r="P57" s="5">
        <v>5.0</v>
      </c>
      <c r="Q57" s="6">
        <f t="shared" si="2"/>
        <v>46062</v>
      </c>
      <c r="R57" s="24" t="s">
        <v>212</v>
      </c>
      <c r="S57" s="4"/>
      <c r="T57" s="4"/>
      <c r="U57" s="4"/>
      <c r="V57" s="4"/>
      <c r="W57" s="4"/>
      <c r="X57" s="4"/>
      <c r="Y57" s="4"/>
      <c r="Z57" s="4"/>
    </row>
    <row r="58" ht="14.25" customHeight="1">
      <c r="A58" s="22"/>
      <c r="B58" s="23" t="s">
        <v>213</v>
      </c>
      <c r="C58" s="5" t="s">
        <v>115</v>
      </c>
      <c r="D58" s="5">
        <v>1.0</v>
      </c>
      <c r="E58" s="5">
        <v>25.0</v>
      </c>
      <c r="F58" s="5">
        <f t="shared" si="1"/>
        <v>25</v>
      </c>
      <c r="G58" s="14">
        <v>1.0</v>
      </c>
      <c r="H58" s="5" t="s">
        <v>206</v>
      </c>
      <c r="I58" s="5" t="s">
        <v>117</v>
      </c>
      <c r="J58" s="5" t="s">
        <v>118</v>
      </c>
      <c r="K58" s="5">
        <v>2800.0</v>
      </c>
      <c r="L58" s="5">
        <v>1500.0</v>
      </c>
      <c r="M58" s="5">
        <v>106000.0</v>
      </c>
      <c r="N58" s="5">
        <f>M58/'Input Costs'!$B$6</f>
        <v>1157.331586</v>
      </c>
      <c r="O58" s="5">
        <v>25.0</v>
      </c>
      <c r="P58" s="5">
        <v>5.0</v>
      </c>
      <c r="Q58" s="6">
        <f t="shared" si="2"/>
        <v>46062</v>
      </c>
      <c r="R58" s="24" t="s">
        <v>212</v>
      </c>
      <c r="S58" s="4"/>
      <c r="T58" s="4"/>
      <c r="U58" s="4"/>
      <c r="V58" s="4"/>
      <c r="W58" s="4"/>
      <c r="X58" s="4"/>
      <c r="Y58" s="4"/>
      <c r="Z58" s="4"/>
    </row>
    <row r="59" ht="14.25" customHeight="1">
      <c r="A59" s="22"/>
      <c r="B59" s="23" t="s">
        <v>214</v>
      </c>
      <c r="C59" s="5" t="s">
        <v>115</v>
      </c>
      <c r="D59" s="5">
        <v>1.0</v>
      </c>
      <c r="E59" s="5">
        <v>28.0</v>
      </c>
      <c r="F59" s="5">
        <f t="shared" si="1"/>
        <v>28</v>
      </c>
      <c r="G59" s="14">
        <v>1.0</v>
      </c>
      <c r="H59" s="5" t="s">
        <v>206</v>
      </c>
      <c r="I59" s="5" t="s">
        <v>117</v>
      </c>
      <c r="J59" s="5" t="s">
        <v>118</v>
      </c>
      <c r="K59" s="5">
        <v>2800.0</v>
      </c>
      <c r="L59" s="5">
        <v>1500.0</v>
      </c>
      <c r="M59" s="5">
        <v>103000.0</v>
      </c>
      <c r="N59" s="5">
        <f>M59/'Input Costs'!$B$6</f>
        <v>1124.576919</v>
      </c>
      <c r="O59" s="5">
        <v>25.0</v>
      </c>
      <c r="P59" s="5">
        <v>5.0</v>
      </c>
      <c r="Q59" s="6">
        <f t="shared" si="2"/>
        <v>46062</v>
      </c>
      <c r="R59" s="24" t="s">
        <v>215</v>
      </c>
      <c r="S59" s="4"/>
      <c r="T59" s="4"/>
      <c r="U59" s="4"/>
      <c r="V59" s="4"/>
      <c r="W59" s="4"/>
      <c r="X59" s="4"/>
      <c r="Y59" s="4"/>
      <c r="Z59" s="4"/>
    </row>
    <row r="60" ht="14.25" customHeight="1">
      <c r="A60" s="22"/>
      <c r="B60" s="23" t="s">
        <v>216</v>
      </c>
      <c r="C60" s="5" t="s">
        <v>115</v>
      </c>
      <c r="D60" s="5">
        <v>1.0</v>
      </c>
      <c r="E60" s="5">
        <v>30.0</v>
      </c>
      <c r="F60" s="5">
        <f t="shared" si="1"/>
        <v>30</v>
      </c>
      <c r="G60" s="14">
        <v>1.0</v>
      </c>
      <c r="H60" s="5" t="s">
        <v>206</v>
      </c>
      <c r="I60" s="5" t="s">
        <v>117</v>
      </c>
      <c r="J60" s="5" t="s">
        <v>118</v>
      </c>
      <c r="K60" s="5">
        <v>2800.0</v>
      </c>
      <c r="L60" s="5">
        <v>1500.0</v>
      </c>
      <c r="M60" s="5">
        <v>100000.0</v>
      </c>
      <c r="N60" s="5">
        <f>M60/'Input Costs'!$B$6</f>
        <v>1091.822251</v>
      </c>
      <c r="O60" s="5">
        <v>25.0</v>
      </c>
      <c r="P60" s="5">
        <v>5.0</v>
      </c>
      <c r="Q60" s="6">
        <f t="shared" si="2"/>
        <v>46062</v>
      </c>
      <c r="R60" s="24" t="s">
        <v>215</v>
      </c>
      <c r="S60" s="4"/>
      <c r="T60" s="4"/>
      <c r="U60" s="4"/>
      <c r="V60" s="4"/>
      <c r="W60" s="4"/>
      <c r="X60" s="4"/>
      <c r="Y60" s="4"/>
      <c r="Z60" s="4"/>
    </row>
    <row r="61" ht="14.25" customHeight="1">
      <c r="A61" s="22"/>
      <c r="B61" s="23" t="s">
        <v>217</v>
      </c>
      <c r="C61" s="5" t="s">
        <v>115</v>
      </c>
      <c r="D61" s="5">
        <v>1.0</v>
      </c>
      <c r="E61" s="5">
        <v>35.0</v>
      </c>
      <c r="F61" s="5">
        <f t="shared" si="1"/>
        <v>35</v>
      </c>
      <c r="G61" s="14">
        <v>1.0</v>
      </c>
      <c r="H61" s="5" t="s">
        <v>206</v>
      </c>
      <c r="I61" s="5" t="s">
        <v>117</v>
      </c>
      <c r="J61" s="5" t="s">
        <v>118</v>
      </c>
      <c r="K61" s="5">
        <v>2800.0</v>
      </c>
      <c r="L61" s="5">
        <v>1500.0</v>
      </c>
      <c r="M61" s="5">
        <v>95000.0</v>
      </c>
      <c r="N61" s="5">
        <f>M61/'Input Costs'!$B$6</f>
        <v>1037.231139</v>
      </c>
      <c r="O61" s="5">
        <v>25.0</v>
      </c>
      <c r="P61" s="5">
        <v>5.0</v>
      </c>
      <c r="Q61" s="6">
        <f t="shared" si="2"/>
        <v>46062</v>
      </c>
      <c r="R61" s="24" t="s">
        <v>218</v>
      </c>
      <c r="S61" s="4"/>
      <c r="T61" s="4"/>
      <c r="U61" s="4"/>
      <c r="V61" s="4"/>
      <c r="W61" s="4"/>
      <c r="X61" s="4"/>
      <c r="Y61" s="4"/>
      <c r="Z61" s="4"/>
    </row>
    <row r="62" ht="14.25" customHeight="1">
      <c r="A62" s="25"/>
      <c r="B62" s="23" t="s">
        <v>219</v>
      </c>
      <c r="C62" s="5" t="s">
        <v>115</v>
      </c>
      <c r="D62" s="5">
        <v>1.0</v>
      </c>
      <c r="E62" s="5">
        <v>40.0</v>
      </c>
      <c r="F62" s="5">
        <f t="shared" si="1"/>
        <v>40</v>
      </c>
      <c r="G62" s="14">
        <v>1.0</v>
      </c>
      <c r="H62" s="5" t="s">
        <v>206</v>
      </c>
      <c r="I62" s="5" t="s">
        <v>117</v>
      </c>
      <c r="J62" s="5" t="s">
        <v>118</v>
      </c>
      <c r="K62" s="5">
        <v>2800.0</v>
      </c>
      <c r="L62" s="5">
        <v>1500.0</v>
      </c>
      <c r="M62" s="5">
        <v>92000.0</v>
      </c>
      <c r="N62" s="5">
        <f>M62/'Input Costs'!$B$6</f>
        <v>1004.476471</v>
      </c>
      <c r="O62" s="5">
        <v>25.0</v>
      </c>
      <c r="P62" s="5">
        <v>5.0</v>
      </c>
      <c r="Q62" s="6">
        <f t="shared" si="2"/>
        <v>46062</v>
      </c>
      <c r="R62" s="24" t="s">
        <v>218</v>
      </c>
      <c r="S62" s="4"/>
      <c r="T62" s="4"/>
      <c r="U62" s="4"/>
      <c r="V62" s="4"/>
      <c r="W62" s="4"/>
      <c r="X62" s="4"/>
      <c r="Y62" s="4"/>
      <c r="Z62" s="4"/>
    </row>
    <row r="63" ht="14.25" customHeight="1">
      <c r="A63" s="16" t="s">
        <v>220</v>
      </c>
      <c r="B63" s="23" t="s">
        <v>221</v>
      </c>
      <c r="C63" s="5" t="s">
        <v>115</v>
      </c>
      <c r="D63" s="5">
        <v>1.0</v>
      </c>
      <c r="E63" s="5">
        <v>15.0</v>
      </c>
      <c r="F63" s="5">
        <f t="shared" si="1"/>
        <v>15</v>
      </c>
      <c r="G63" s="14">
        <v>1.0</v>
      </c>
      <c r="H63" s="5" t="s">
        <v>116</v>
      </c>
      <c r="I63" s="5" t="s">
        <v>222</v>
      </c>
      <c r="J63" s="5" t="s">
        <v>118</v>
      </c>
      <c r="K63" s="5">
        <v>2800.0</v>
      </c>
      <c r="L63" s="5">
        <v>1500.0</v>
      </c>
      <c r="M63" s="5">
        <v>100000.0</v>
      </c>
      <c r="N63" s="5">
        <f>M63/'Input Costs'!$B$6</f>
        <v>1091.822251</v>
      </c>
      <c r="O63" s="5">
        <v>21.0</v>
      </c>
      <c r="P63" s="5">
        <v>5.0</v>
      </c>
      <c r="Q63" s="6">
        <f t="shared" si="2"/>
        <v>46062</v>
      </c>
      <c r="R63" s="24" t="s">
        <v>223</v>
      </c>
      <c r="S63" s="4"/>
      <c r="T63" s="4"/>
      <c r="U63" s="4"/>
      <c r="V63" s="4"/>
      <c r="W63" s="4"/>
      <c r="X63" s="4"/>
      <c r="Y63" s="4"/>
      <c r="Z63" s="4"/>
    </row>
    <row r="64" ht="14.25" customHeight="1">
      <c r="A64" s="22"/>
      <c r="B64" s="23" t="s">
        <v>224</v>
      </c>
      <c r="C64" s="5" t="s">
        <v>115</v>
      </c>
      <c r="D64" s="5">
        <v>1.0</v>
      </c>
      <c r="E64" s="5">
        <v>17.0</v>
      </c>
      <c r="F64" s="5">
        <f t="shared" si="1"/>
        <v>17</v>
      </c>
      <c r="G64" s="14">
        <v>1.0</v>
      </c>
      <c r="H64" s="5" t="s">
        <v>116</v>
      </c>
      <c r="I64" s="5" t="s">
        <v>222</v>
      </c>
      <c r="J64" s="5" t="s">
        <v>118</v>
      </c>
      <c r="K64" s="5">
        <v>2800.0</v>
      </c>
      <c r="L64" s="5">
        <v>1500.0</v>
      </c>
      <c r="M64" s="5">
        <v>97000.0</v>
      </c>
      <c r="N64" s="5">
        <f>M64/'Input Costs'!$B$6</f>
        <v>1059.067584</v>
      </c>
      <c r="O64" s="5">
        <v>21.0</v>
      </c>
      <c r="P64" s="5">
        <v>5.0</v>
      </c>
      <c r="Q64" s="6">
        <f t="shared" si="2"/>
        <v>46062</v>
      </c>
      <c r="R64" s="24" t="s">
        <v>225</v>
      </c>
      <c r="S64" s="4"/>
      <c r="T64" s="4"/>
      <c r="U64" s="4"/>
      <c r="V64" s="4"/>
      <c r="W64" s="4"/>
      <c r="X64" s="4"/>
      <c r="Y64" s="4"/>
      <c r="Z64" s="4"/>
    </row>
    <row r="65" ht="14.25" customHeight="1">
      <c r="A65" s="22"/>
      <c r="B65" s="23" t="s">
        <v>226</v>
      </c>
      <c r="C65" s="5" t="s">
        <v>115</v>
      </c>
      <c r="D65" s="5">
        <v>1.0</v>
      </c>
      <c r="E65" s="5">
        <v>18.0</v>
      </c>
      <c r="F65" s="5">
        <f t="shared" si="1"/>
        <v>18</v>
      </c>
      <c r="G65" s="14">
        <v>1.0</v>
      </c>
      <c r="H65" s="5" t="s">
        <v>116</v>
      </c>
      <c r="I65" s="5" t="s">
        <v>222</v>
      </c>
      <c r="J65" s="5" t="s">
        <v>118</v>
      </c>
      <c r="K65" s="5">
        <v>2800.0</v>
      </c>
      <c r="L65" s="5">
        <v>1500.0</v>
      </c>
      <c r="M65" s="5">
        <v>95000.0</v>
      </c>
      <c r="N65" s="5">
        <f>M65/'Input Costs'!$B$6</f>
        <v>1037.231139</v>
      </c>
      <c r="O65" s="5">
        <v>21.0</v>
      </c>
      <c r="P65" s="5">
        <v>5.0</v>
      </c>
      <c r="Q65" s="6">
        <f t="shared" si="2"/>
        <v>46062</v>
      </c>
      <c r="R65" s="24" t="s">
        <v>227</v>
      </c>
      <c r="S65" s="4"/>
      <c r="T65" s="4"/>
      <c r="U65" s="4"/>
      <c r="V65" s="4"/>
      <c r="W65" s="4"/>
      <c r="X65" s="4"/>
      <c r="Y65" s="4"/>
      <c r="Z65" s="4"/>
    </row>
    <row r="66" ht="14.25" customHeight="1">
      <c r="A66" s="22"/>
      <c r="B66" s="23" t="s">
        <v>228</v>
      </c>
      <c r="C66" s="5" t="s">
        <v>115</v>
      </c>
      <c r="D66" s="5">
        <v>1.0</v>
      </c>
      <c r="E66" s="5">
        <v>20.0</v>
      </c>
      <c r="F66" s="5">
        <f t="shared" si="1"/>
        <v>20</v>
      </c>
      <c r="G66" s="14">
        <v>1.0</v>
      </c>
      <c r="H66" s="5" t="s">
        <v>116</v>
      </c>
      <c r="I66" s="5" t="s">
        <v>222</v>
      </c>
      <c r="J66" s="5" t="s">
        <v>118</v>
      </c>
      <c r="K66" s="5">
        <v>2800.0</v>
      </c>
      <c r="L66" s="5">
        <v>1500.0</v>
      </c>
      <c r="M66" s="5">
        <v>92000.0</v>
      </c>
      <c r="N66" s="5">
        <f>M66/'Input Costs'!$B$6</f>
        <v>1004.476471</v>
      </c>
      <c r="O66" s="5">
        <v>21.0</v>
      </c>
      <c r="P66" s="5">
        <v>5.0</v>
      </c>
      <c r="Q66" s="6">
        <f t="shared" si="2"/>
        <v>46062</v>
      </c>
      <c r="R66" s="24" t="s">
        <v>229</v>
      </c>
      <c r="S66" s="4"/>
      <c r="T66" s="4"/>
      <c r="U66" s="4"/>
      <c r="V66" s="4"/>
      <c r="W66" s="4"/>
      <c r="X66" s="4"/>
      <c r="Y66" s="4"/>
      <c r="Z66" s="4"/>
    </row>
    <row r="67" ht="14.25" customHeight="1">
      <c r="A67" s="22"/>
      <c r="B67" s="23" t="s">
        <v>230</v>
      </c>
      <c r="C67" s="5" t="s">
        <v>115</v>
      </c>
      <c r="D67" s="5">
        <v>1.0</v>
      </c>
      <c r="E67" s="5">
        <v>22.0</v>
      </c>
      <c r="F67" s="5">
        <f t="shared" si="1"/>
        <v>22</v>
      </c>
      <c r="G67" s="14">
        <v>1.0</v>
      </c>
      <c r="H67" s="5" t="s">
        <v>116</v>
      </c>
      <c r="I67" s="5" t="s">
        <v>222</v>
      </c>
      <c r="J67" s="5" t="s">
        <v>118</v>
      </c>
      <c r="K67" s="5">
        <v>2800.0</v>
      </c>
      <c r="L67" s="5">
        <v>1500.0</v>
      </c>
      <c r="M67" s="5">
        <v>90000.0</v>
      </c>
      <c r="N67" s="5">
        <f>M67/'Input Costs'!$B$6</f>
        <v>982.6400262</v>
      </c>
      <c r="O67" s="5">
        <v>21.0</v>
      </c>
      <c r="P67" s="5">
        <v>5.0</v>
      </c>
      <c r="Q67" s="6">
        <f t="shared" si="2"/>
        <v>46062</v>
      </c>
      <c r="R67" s="24" t="s">
        <v>229</v>
      </c>
      <c r="S67" s="4"/>
      <c r="T67" s="4"/>
      <c r="U67" s="4"/>
      <c r="V67" s="4"/>
      <c r="W67" s="4"/>
      <c r="X67" s="4"/>
      <c r="Y67" s="4"/>
      <c r="Z67" s="4"/>
    </row>
    <row r="68" ht="14.25" customHeight="1">
      <c r="A68" s="22"/>
      <c r="B68" s="23" t="s">
        <v>231</v>
      </c>
      <c r="C68" s="5" t="s">
        <v>115</v>
      </c>
      <c r="D68" s="5">
        <v>1.0</v>
      </c>
      <c r="E68" s="5">
        <v>17.0</v>
      </c>
      <c r="F68" s="5">
        <f t="shared" si="1"/>
        <v>17</v>
      </c>
      <c r="G68" s="14">
        <v>1.0</v>
      </c>
      <c r="H68" s="5" t="s">
        <v>116</v>
      </c>
      <c r="I68" s="5" t="s">
        <v>222</v>
      </c>
      <c r="J68" s="5" t="s">
        <v>150</v>
      </c>
      <c r="K68" s="5">
        <v>2800.0</v>
      </c>
      <c r="L68" s="5">
        <v>1500.0</v>
      </c>
      <c r="M68" s="5">
        <v>110000.0</v>
      </c>
      <c r="N68" s="5">
        <f>M68/'Input Costs'!$B$6</f>
        <v>1201.004476</v>
      </c>
      <c r="O68" s="5">
        <v>25.0</v>
      </c>
      <c r="P68" s="5">
        <v>5.0</v>
      </c>
      <c r="Q68" s="6">
        <f t="shared" si="2"/>
        <v>46062</v>
      </c>
      <c r="R68" s="24" t="s">
        <v>232</v>
      </c>
      <c r="S68" s="4"/>
      <c r="T68" s="4"/>
      <c r="U68" s="4"/>
      <c r="V68" s="4"/>
      <c r="W68" s="4"/>
      <c r="X68" s="4"/>
      <c r="Y68" s="4"/>
      <c r="Z68" s="4"/>
    </row>
    <row r="69" ht="14.25" customHeight="1">
      <c r="A69" s="25"/>
      <c r="B69" s="23" t="s">
        <v>233</v>
      </c>
      <c r="C69" s="5" t="s">
        <v>115</v>
      </c>
      <c r="D69" s="5">
        <v>1.0</v>
      </c>
      <c r="E69" s="5">
        <v>18.0</v>
      </c>
      <c r="F69" s="5">
        <f t="shared" si="1"/>
        <v>18</v>
      </c>
      <c r="G69" s="14">
        <v>1.0</v>
      </c>
      <c r="H69" s="5" t="s">
        <v>116</v>
      </c>
      <c r="I69" s="5" t="s">
        <v>222</v>
      </c>
      <c r="J69" s="5" t="s">
        <v>150</v>
      </c>
      <c r="K69" s="5">
        <v>2800.0</v>
      </c>
      <c r="L69" s="5">
        <v>1500.0</v>
      </c>
      <c r="M69" s="5">
        <v>108000.0</v>
      </c>
      <c r="N69" s="5">
        <f>M69/'Input Costs'!$B$6</f>
        <v>1179.168031</v>
      </c>
      <c r="O69" s="5">
        <v>25.0</v>
      </c>
      <c r="P69" s="5">
        <v>5.0</v>
      </c>
      <c r="Q69" s="6">
        <f t="shared" si="2"/>
        <v>46062</v>
      </c>
      <c r="R69" s="24" t="s">
        <v>232</v>
      </c>
      <c r="S69" s="4"/>
      <c r="T69" s="4"/>
      <c r="U69" s="4"/>
      <c r="V69" s="4"/>
      <c r="W69" s="4"/>
      <c r="X69" s="4"/>
      <c r="Y69" s="4"/>
      <c r="Z69" s="4"/>
    </row>
    <row r="70" ht="14.25" customHeight="1">
      <c r="A70" s="26" t="s">
        <v>234</v>
      </c>
      <c r="B70" s="23" t="s">
        <v>235</v>
      </c>
      <c r="C70" s="5" t="s">
        <v>115</v>
      </c>
      <c r="D70" s="5">
        <v>1.0</v>
      </c>
      <c r="E70" s="5">
        <v>17.0</v>
      </c>
      <c r="F70" s="5">
        <f t="shared" si="1"/>
        <v>17</v>
      </c>
      <c r="G70" s="14">
        <v>1.0</v>
      </c>
      <c r="H70" s="5" t="s">
        <v>116</v>
      </c>
      <c r="I70" s="5" t="s">
        <v>236</v>
      </c>
      <c r="J70" s="5" t="s">
        <v>118</v>
      </c>
      <c r="K70" s="5">
        <v>2800.0</v>
      </c>
      <c r="L70" s="5">
        <v>1500.0</v>
      </c>
      <c r="M70" s="5">
        <v>112000.0</v>
      </c>
      <c r="N70" s="5">
        <f>M70/'Input Costs'!$B$6</f>
        <v>1222.840921</v>
      </c>
      <c r="O70" s="5">
        <v>28.0</v>
      </c>
      <c r="P70" s="5">
        <v>5.0</v>
      </c>
      <c r="Q70" s="6">
        <f t="shared" si="2"/>
        <v>46062</v>
      </c>
      <c r="R70" s="24" t="s">
        <v>237</v>
      </c>
      <c r="S70" s="4"/>
      <c r="T70" s="4"/>
      <c r="U70" s="4"/>
      <c r="V70" s="4"/>
      <c r="W70" s="4"/>
      <c r="X70" s="4"/>
      <c r="Y70" s="4"/>
      <c r="Z70" s="4"/>
    </row>
    <row r="71" ht="14.25" customHeight="1">
      <c r="A71" s="22"/>
      <c r="B71" s="23" t="s">
        <v>238</v>
      </c>
      <c r="C71" s="5" t="s">
        <v>115</v>
      </c>
      <c r="D71" s="5">
        <v>1.0</v>
      </c>
      <c r="E71" s="5">
        <v>18.0</v>
      </c>
      <c r="F71" s="5">
        <f t="shared" si="1"/>
        <v>18</v>
      </c>
      <c r="G71" s="14">
        <v>1.0</v>
      </c>
      <c r="H71" s="5" t="s">
        <v>116</v>
      </c>
      <c r="I71" s="5" t="s">
        <v>236</v>
      </c>
      <c r="J71" s="5" t="s">
        <v>118</v>
      </c>
      <c r="K71" s="5">
        <v>2800.0</v>
      </c>
      <c r="L71" s="5">
        <v>1500.0</v>
      </c>
      <c r="M71" s="5">
        <v>110000.0</v>
      </c>
      <c r="N71" s="5">
        <f>M71/'Input Costs'!$B$6</f>
        <v>1201.004476</v>
      </c>
      <c r="O71" s="5">
        <v>28.0</v>
      </c>
      <c r="P71" s="5">
        <v>5.0</v>
      </c>
      <c r="Q71" s="6">
        <f t="shared" si="2"/>
        <v>46062</v>
      </c>
      <c r="R71" s="24" t="s">
        <v>239</v>
      </c>
      <c r="S71" s="4"/>
      <c r="T71" s="4"/>
      <c r="U71" s="4"/>
      <c r="V71" s="4"/>
      <c r="W71" s="4"/>
      <c r="X71" s="4"/>
      <c r="Y71" s="4"/>
      <c r="Z71" s="4"/>
    </row>
    <row r="72" ht="14.25" customHeight="1">
      <c r="A72" s="22"/>
      <c r="B72" s="23" t="s">
        <v>240</v>
      </c>
      <c r="C72" s="5" t="s">
        <v>115</v>
      </c>
      <c r="D72" s="5">
        <v>1.0</v>
      </c>
      <c r="E72" s="5">
        <v>20.0</v>
      </c>
      <c r="F72" s="5">
        <f t="shared" si="1"/>
        <v>20</v>
      </c>
      <c r="G72" s="14">
        <v>1.0</v>
      </c>
      <c r="H72" s="5" t="s">
        <v>116</v>
      </c>
      <c r="I72" s="5" t="s">
        <v>236</v>
      </c>
      <c r="J72" s="5" t="s">
        <v>118</v>
      </c>
      <c r="K72" s="5">
        <v>2800.0</v>
      </c>
      <c r="L72" s="5">
        <v>1500.0</v>
      </c>
      <c r="M72" s="5">
        <v>107000.0</v>
      </c>
      <c r="N72" s="5">
        <f>M72/'Input Costs'!$B$6</f>
        <v>1168.249809</v>
      </c>
      <c r="O72" s="5">
        <v>28.0</v>
      </c>
      <c r="P72" s="5">
        <v>5.0</v>
      </c>
      <c r="Q72" s="6">
        <f t="shared" si="2"/>
        <v>46062</v>
      </c>
      <c r="R72" s="24" t="s">
        <v>237</v>
      </c>
      <c r="S72" s="4"/>
      <c r="T72" s="4"/>
      <c r="U72" s="4"/>
      <c r="V72" s="4"/>
      <c r="W72" s="4"/>
      <c r="X72" s="4"/>
      <c r="Y72" s="4"/>
      <c r="Z72" s="4"/>
    </row>
    <row r="73" ht="14.25" customHeight="1">
      <c r="A73" s="22"/>
      <c r="B73" s="23" t="s">
        <v>241</v>
      </c>
      <c r="C73" s="5" t="s">
        <v>115</v>
      </c>
      <c r="D73" s="5">
        <v>1.0</v>
      </c>
      <c r="E73" s="5">
        <v>22.0</v>
      </c>
      <c r="F73" s="5">
        <f t="shared" si="1"/>
        <v>22</v>
      </c>
      <c r="G73" s="14">
        <v>1.0</v>
      </c>
      <c r="H73" s="5" t="s">
        <v>116</v>
      </c>
      <c r="I73" s="5" t="s">
        <v>236</v>
      </c>
      <c r="J73" s="5" t="s">
        <v>118</v>
      </c>
      <c r="K73" s="5">
        <v>2800.0</v>
      </c>
      <c r="L73" s="5">
        <v>1500.0</v>
      </c>
      <c r="M73" s="5">
        <v>105000.0</v>
      </c>
      <c r="N73" s="5">
        <f>M73/'Input Costs'!$B$6</f>
        <v>1146.413364</v>
      </c>
      <c r="O73" s="5">
        <v>28.0</v>
      </c>
      <c r="P73" s="5">
        <v>5.0</v>
      </c>
      <c r="Q73" s="6">
        <f t="shared" si="2"/>
        <v>46062</v>
      </c>
      <c r="R73" s="24" t="s">
        <v>237</v>
      </c>
      <c r="S73" s="4"/>
      <c r="T73" s="4"/>
      <c r="U73" s="4"/>
      <c r="V73" s="4"/>
      <c r="W73" s="4"/>
      <c r="X73" s="4"/>
      <c r="Y73" s="4"/>
      <c r="Z73" s="4"/>
    </row>
    <row r="74" ht="14.25" customHeight="1">
      <c r="A74" s="25"/>
      <c r="B74" s="23" t="s">
        <v>242</v>
      </c>
      <c r="C74" s="5" t="s">
        <v>115</v>
      </c>
      <c r="D74" s="5">
        <v>1.0</v>
      </c>
      <c r="E74" s="5">
        <v>18.0</v>
      </c>
      <c r="F74" s="5">
        <f t="shared" si="1"/>
        <v>18</v>
      </c>
      <c r="G74" s="14">
        <v>1.0</v>
      </c>
      <c r="H74" s="5" t="s">
        <v>116</v>
      </c>
      <c r="I74" s="5" t="s">
        <v>236</v>
      </c>
      <c r="J74" s="5" t="s">
        <v>150</v>
      </c>
      <c r="K74" s="5">
        <v>2800.0</v>
      </c>
      <c r="L74" s="5">
        <v>1500.0</v>
      </c>
      <c r="M74" s="5">
        <v>120000.0</v>
      </c>
      <c r="N74" s="5">
        <f>M74/'Input Costs'!$B$6</f>
        <v>1310.186702</v>
      </c>
      <c r="O74" s="5">
        <v>28.0</v>
      </c>
      <c r="P74" s="5">
        <v>5.0</v>
      </c>
      <c r="Q74" s="6">
        <f t="shared" si="2"/>
        <v>46062</v>
      </c>
      <c r="R74" s="24" t="s">
        <v>243</v>
      </c>
      <c r="S74" s="4"/>
      <c r="T74" s="4"/>
      <c r="U74" s="4"/>
      <c r="V74" s="4"/>
      <c r="W74" s="4"/>
      <c r="X74" s="4"/>
      <c r="Y74" s="4"/>
      <c r="Z74" s="4"/>
    </row>
    <row r="75" ht="14.25" customHeight="1">
      <c r="A75" s="16" t="s">
        <v>244</v>
      </c>
      <c r="B75" s="23" t="s">
        <v>245</v>
      </c>
      <c r="C75" s="5" t="s">
        <v>246</v>
      </c>
      <c r="D75" s="5">
        <v>1.0</v>
      </c>
      <c r="E75" s="5">
        <v>15.0</v>
      </c>
      <c r="F75" s="5">
        <f t="shared" si="1"/>
        <v>15</v>
      </c>
      <c r="G75" s="14">
        <v>1.0</v>
      </c>
      <c r="H75" s="5" t="s">
        <v>116</v>
      </c>
      <c r="I75" s="5" t="s">
        <v>117</v>
      </c>
      <c r="J75" s="5" t="s">
        <v>118</v>
      </c>
      <c r="K75" s="5">
        <v>2700.0</v>
      </c>
      <c r="L75" s="5">
        <v>1400.0</v>
      </c>
      <c r="M75" s="5">
        <v>103000.0</v>
      </c>
      <c r="N75" s="5">
        <f>M75/'Input Costs'!$B$6</f>
        <v>1124.576919</v>
      </c>
      <c r="O75" s="5">
        <v>18.0</v>
      </c>
      <c r="P75" s="5">
        <v>3.0</v>
      </c>
      <c r="Q75" s="6">
        <f t="shared" si="2"/>
        <v>46062</v>
      </c>
      <c r="R75" s="24" t="s">
        <v>247</v>
      </c>
      <c r="S75" s="4"/>
      <c r="T75" s="4"/>
      <c r="U75" s="4"/>
      <c r="V75" s="4"/>
      <c r="W75" s="4"/>
      <c r="X75" s="4"/>
      <c r="Y75" s="4"/>
      <c r="Z75" s="4"/>
    </row>
    <row r="76" ht="14.25" customHeight="1">
      <c r="A76" s="22"/>
      <c r="B76" s="23" t="s">
        <v>248</v>
      </c>
      <c r="C76" s="5" t="s">
        <v>246</v>
      </c>
      <c r="D76" s="5">
        <v>1.0</v>
      </c>
      <c r="E76" s="5">
        <v>17.0</v>
      </c>
      <c r="F76" s="5">
        <f t="shared" si="1"/>
        <v>17</v>
      </c>
      <c r="G76" s="14">
        <v>1.0</v>
      </c>
      <c r="H76" s="5" t="s">
        <v>116</v>
      </c>
      <c r="I76" s="5" t="s">
        <v>117</v>
      </c>
      <c r="J76" s="5" t="s">
        <v>118</v>
      </c>
      <c r="K76" s="5">
        <v>2700.0</v>
      </c>
      <c r="L76" s="5">
        <v>1400.0</v>
      </c>
      <c r="M76" s="5">
        <v>100000.0</v>
      </c>
      <c r="N76" s="5">
        <f>M76/'Input Costs'!$B$6</f>
        <v>1091.822251</v>
      </c>
      <c r="O76" s="5">
        <v>18.0</v>
      </c>
      <c r="P76" s="5">
        <v>3.0</v>
      </c>
      <c r="Q76" s="6">
        <f t="shared" si="2"/>
        <v>46062</v>
      </c>
      <c r="R76" s="24" t="s">
        <v>247</v>
      </c>
      <c r="S76" s="4"/>
      <c r="T76" s="4"/>
      <c r="U76" s="4"/>
      <c r="V76" s="4"/>
      <c r="W76" s="4"/>
      <c r="X76" s="4"/>
      <c r="Y76" s="4"/>
      <c r="Z76" s="4"/>
    </row>
    <row r="77" ht="14.25" customHeight="1">
      <c r="A77" s="22"/>
      <c r="B77" s="23" t="s">
        <v>249</v>
      </c>
      <c r="C77" s="5" t="s">
        <v>246</v>
      </c>
      <c r="D77" s="5">
        <v>1.0</v>
      </c>
      <c r="E77" s="5">
        <v>18.0</v>
      </c>
      <c r="F77" s="5">
        <f t="shared" si="1"/>
        <v>18</v>
      </c>
      <c r="G77" s="14">
        <v>1.0</v>
      </c>
      <c r="H77" s="5" t="s">
        <v>116</v>
      </c>
      <c r="I77" s="5" t="s">
        <v>117</v>
      </c>
      <c r="J77" s="5" t="s">
        <v>118</v>
      </c>
      <c r="K77" s="5">
        <v>2700.0</v>
      </c>
      <c r="L77" s="5">
        <v>1400.0</v>
      </c>
      <c r="M77" s="5">
        <v>98000.0</v>
      </c>
      <c r="N77" s="5">
        <f>M77/'Input Costs'!$B$6</f>
        <v>1069.985806</v>
      </c>
      <c r="O77" s="5">
        <v>18.0</v>
      </c>
      <c r="P77" s="5">
        <v>3.0</v>
      </c>
      <c r="Q77" s="6">
        <f t="shared" si="2"/>
        <v>46062</v>
      </c>
      <c r="R77" s="24" t="s">
        <v>247</v>
      </c>
      <c r="S77" s="4"/>
      <c r="T77" s="4"/>
      <c r="U77" s="4"/>
      <c r="V77" s="4"/>
      <c r="W77" s="4"/>
      <c r="X77" s="4"/>
      <c r="Y77" s="4"/>
      <c r="Z77" s="4"/>
    </row>
    <row r="78" ht="14.25" customHeight="1">
      <c r="A78" s="22"/>
      <c r="B78" s="23" t="s">
        <v>250</v>
      </c>
      <c r="C78" s="5" t="s">
        <v>246</v>
      </c>
      <c r="D78" s="5">
        <v>1.0</v>
      </c>
      <c r="E78" s="5">
        <v>20.0</v>
      </c>
      <c r="F78" s="5">
        <f t="shared" si="1"/>
        <v>20</v>
      </c>
      <c r="G78" s="14">
        <v>1.0</v>
      </c>
      <c r="H78" s="5" t="s">
        <v>116</v>
      </c>
      <c r="I78" s="5" t="s">
        <v>117</v>
      </c>
      <c r="J78" s="5" t="s">
        <v>118</v>
      </c>
      <c r="K78" s="5">
        <v>2700.0</v>
      </c>
      <c r="L78" s="5">
        <v>1400.0</v>
      </c>
      <c r="M78" s="5">
        <v>95000.0</v>
      </c>
      <c r="N78" s="5">
        <f>M78/'Input Costs'!$B$6</f>
        <v>1037.231139</v>
      </c>
      <c r="O78" s="5">
        <v>18.0</v>
      </c>
      <c r="P78" s="5">
        <v>3.0</v>
      </c>
      <c r="Q78" s="6">
        <f t="shared" si="2"/>
        <v>46062</v>
      </c>
      <c r="R78" s="24" t="s">
        <v>247</v>
      </c>
      <c r="S78" s="4"/>
      <c r="T78" s="4"/>
      <c r="U78" s="4"/>
      <c r="V78" s="4"/>
      <c r="W78" s="4"/>
      <c r="X78" s="4"/>
      <c r="Y78" s="4"/>
      <c r="Z78" s="4"/>
    </row>
    <row r="79" ht="14.25" customHeight="1">
      <c r="A79" s="22"/>
      <c r="B79" s="23" t="s">
        <v>251</v>
      </c>
      <c r="C79" s="5" t="s">
        <v>246</v>
      </c>
      <c r="D79" s="5">
        <v>1.0</v>
      </c>
      <c r="E79" s="5">
        <v>22.0</v>
      </c>
      <c r="F79" s="5">
        <f t="shared" si="1"/>
        <v>22</v>
      </c>
      <c r="G79" s="14">
        <v>1.0</v>
      </c>
      <c r="H79" s="5" t="s">
        <v>116</v>
      </c>
      <c r="I79" s="5" t="s">
        <v>117</v>
      </c>
      <c r="J79" s="5" t="s">
        <v>118</v>
      </c>
      <c r="K79" s="5">
        <v>2700.0</v>
      </c>
      <c r="L79" s="5">
        <v>1400.0</v>
      </c>
      <c r="M79" s="5">
        <v>93000.0</v>
      </c>
      <c r="N79" s="5">
        <f>M79/'Input Costs'!$B$6</f>
        <v>1015.394694</v>
      </c>
      <c r="O79" s="5">
        <v>18.0</v>
      </c>
      <c r="P79" s="5">
        <v>3.0</v>
      </c>
      <c r="Q79" s="6">
        <f t="shared" si="2"/>
        <v>46062</v>
      </c>
      <c r="R79" s="24" t="s">
        <v>247</v>
      </c>
      <c r="S79" s="4"/>
      <c r="T79" s="4"/>
      <c r="U79" s="4"/>
      <c r="V79" s="4"/>
      <c r="W79" s="4"/>
      <c r="X79" s="4"/>
      <c r="Y79" s="4"/>
      <c r="Z79" s="4"/>
    </row>
    <row r="80" ht="14.25" customHeight="1">
      <c r="A80" s="22"/>
      <c r="B80" s="23" t="s">
        <v>252</v>
      </c>
      <c r="C80" s="5" t="s">
        <v>246</v>
      </c>
      <c r="D80" s="5">
        <v>1.0</v>
      </c>
      <c r="E80" s="5">
        <v>17.0</v>
      </c>
      <c r="F80" s="5">
        <f t="shared" si="1"/>
        <v>17</v>
      </c>
      <c r="G80" s="14">
        <v>1.0</v>
      </c>
      <c r="H80" s="5" t="s">
        <v>116</v>
      </c>
      <c r="I80" s="5" t="s">
        <v>117</v>
      </c>
      <c r="J80" s="5" t="s">
        <v>150</v>
      </c>
      <c r="K80" s="5">
        <v>2700.0</v>
      </c>
      <c r="L80" s="5">
        <v>1400.0</v>
      </c>
      <c r="M80" s="5">
        <v>113000.0</v>
      </c>
      <c r="N80" s="5">
        <f>M80/'Input Costs'!$B$6</f>
        <v>1233.759144</v>
      </c>
      <c r="O80" s="5">
        <v>21.0</v>
      </c>
      <c r="P80" s="5">
        <v>3.0</v>
      </c>
      <c r="Q80" s="6">
        <f t="shared" si="2"/>
        <v>46062</v>
      </c>
      <c r="R80" s="24" t="s">
        <v>253</v>
      </c>
      <c r="S80" s="4"/>
      <c r="T80" s="4"/>
      <c r="U80" s="4"/>
      <c r="V80" s="4"/>
      <c r="W80" s="4"/>
      <c r="X80" s="4"/>
      <c r="Y80" s="4"/>
      <c r="Z80" s="4"/>
    </row>
    <row r="81" ht="14.25" customHeight="1">
      <c r="A81" s="22"/>
      <c r="B81" s="23" t="s">
        <v>254</v>
      </c>
      <c r="C81" s="5" t="s">
        <v>246</v>
      </c>
      <c r="D81" s="5">
        <v>1.0</v>
      </c>
      <c r="E81" s="5">
        <v>18.0</v>
      </c>
      <c r="F81" s="5">
        <f t="shared" si="1"/>
        <v>18</v>
      </c>
      <c r="G81" s="14">
        <v>1.0</v>
      </c>
      <c r="H81" s="5" t="s">
        <v>116</v>
      </c>
      <c r="I81" s="5" t="s">
        <v>117</v>
      </c>
      <c r="J81" s="5" t="s">
        <v>150</v>
      </c>
      <c r="K81" s="5">
        <v>2700.0</v>
      </c>
      <c r="L81" s="5">
        <v>1400.0</v>
      </c>
      <c r="M81" s="5">
        <v>111000.0</v>
      </c>
      <c r="N81" s="5">
        <f>M81/'Input Costs'!$B$6</f>
        <v>1211.922699</v>
      </c>
      <c r="O81" s="5">
        <v>21.0</v>
      </c>
      <c r="P81" s="5">
        <v>3.0</v>
      </c>
      <c r="Q81" s="6">
        <f t="shared" si="2"/>
        <v>46062</v>
      </c>
      <c r="R81" s="24" t="s">
        <v>253</v>
      </c>
      <c r="S81" s="4"/>
      <c r="T81" s="4"/>
      <c r="U81" s="4"/>
      <c r="V81" s="4"/>
      <c r="W81" s="4"/>
      <c r="X81" s="4"/>
      <c r="Y81" s="4"/>
      <c r="Z81" s="4"/>
    </row>
    <row r="82" ht="14.25" customHeight="1">
      <c r="A82" s="22"/>
      <c r="B82" s="23" t="s">
        <v>255</v>
      </c>
      <c r="C82" s="5" t="s">
        <v>246</v>
      </c>
      <c r="D82" s="5">
        <v>1.0</v>
      </c>
      <c r="E82" s="5">
        <v>17.0</v>
      </c>
      <c r="F82" s="5">
        <f t="shared" si="1"/>
        <v>17</v>
      </c>
      <c r="G82" s="14">
        <v>0.7</v>
      </c>
      <c r="H82" s="5" t="s">
        <v>116</v>
      </c>
      <c r="I82" s="5" t="s">
        <v>117</v>
      </c>
      <c r="J82" s="5" t="s">
        <v>118</v>
      </c>
      <c r="K82" s="5">
        <v>2700.0</v>
      </c>
      <c r="L82" s="5">
        <v>1400.0</v>
      </c>
      <c r="M82" s="5">
        <v>86000.0</v>
      </c>
      <c r="N82" s="5">
        <f>M82/'Input Costs'!$B$6</f>
        <v>938.9671362</v>
      </c>
      <c r="O82" s="5">
        <v>18.0</v>
      </c>
      <c r="P82" s="5">
        <v>3.0</v>
      </c>
      <c r="Q82" s="6">
        <f t="shared" si="2"/>
        <v>46062</v>
      </c>
      <c r="R82" s="24" t="s">
        <v>256</v>
      </c>
      <c r="S82" s="4"/>
      <c r="T82" s="4"/>
      <c r="U82" s="4"/>
      <c r="V82" s="4"/>
      <c r="W82" s="4"/>
      <c r="X82" s="4"/>
      <c r="Y82" s="4"/>
      <c r="Z82" s="4"/>
    </row>
    <row r="83" ht="14.25" customHeight="1">
      <c r="A83" s="22"/>
      <c r="B83" s="23" t="s">
        <v>257</v>
      </c>
      <c r="C83" s="5" t="s">
        <v>246</v>
      </c>
      <c r="D83" s="5">
        <v>1.0</v>
      </c>
      <c r="E83" s="5">
        <v>18.0</v>
      </c>
      <c r="F83" s="5">
        <f t="shared" si="1"/>
        <v>18</v>
      </c>
      <c r="G83" s="14">
        <v>0.7</v>
      </c>
      <c r="H83" s="5" t="s">
        <v>116</v>
      </c>
      <c r="I83" s="5" t="s">
        <v>117</v>
      </c>
      <c r="J83" s="5" t="s">
        <v>118</v>
      </c>
      <c r="K83" s="5">
        <v>2700.0</v>
      </c>
      <c r="L83" s="5">
        <v>1400.0</v>
      </c>
      <c r="M83" s="5">
        <v>84000.0</v>
      </c>
      <c r="N83" s="5">
        <f>M83/'Input Costs'!$B$6</f>
        <v>917.1306911</v>
      </c>
      <c r="O83" s="5">
        <v>18.0</v>
      </c>
      <c r="P83" s="5">
        <v>3.0</v>
      </c>
      <c r="Q83" s="6">
        <f t="shared" si="2"/>
        <v>46062</v>
      </c>
      <c r="R83" s="24" t="s">
        <v>256</v>
      </c>
      <c r="S83" s="4"/>
      <c r="T83" s="4"/>
      <c r="U83" s="4"/>
      <c r="V83" s="4"/>
      <c r="W83" s="4"/>
      <c r="X83" s="4"/>
      <c r="Y83" s="4"/>
      <c r="Z83" s="4"/>
    </row>
    <row r="84" ht="14.25" customHeight="1">
      <c r="A84" s="25"/>
      <c r="B84" s="23" t="s">
        <v>258</v>
      </c>
      <c r="C84" s="5" t="s">
        <v>246</v>
      </c>
      <c r="D84" s="5">
        <v>1.0</v>
      </c>
      <c r="E84" s="5">
        <v>22.0</v>
      </c>
      <c r="F84" s="5">
        <f t="shared" si="1"/>
        <v>22</v>
      </c>
      <c r="G84" s="14">
        <v>1.0</v>
      </c>
      <c r="H84" s="5" t="s">
        <v>206</v>
      </c>
      <c r="I84" s="5" t="s">
        <v>117</v>
      </c>
      <c r="J84" s="5" t="s">
        <v>118</v>
      </c>
      <c r="K84" s="5">
        <v>2700.0</v>
      </c>
      <c r="L84" s="5">
        <v>1400.0</v>
      </c>
      <c r="M84" s="5">
        <v>108000.0</v>
      </c>
      <c r="N84" s="5">
        <f>M84/'Input Costs'!$B$6</f>
        <v>1179.168031</v>
      </c>
      <c r="O84" s="5">
        <v>21.0</v>
      </c>
      <c r="P84" s="5">
        <v>3.0</v>
      </c>
      <c r="Q84" s="6">
        <f t="shared" si="2"/>
        <v>46062</v>
      </c>
      <c r="R84" s="24" t="s">
        <v>259</v>
      </c>
      <c r="S84" s="4"/>
      <c r="T84" s="4"/>
      <c r="U84" s="4"/>
      <c r="V84" s="4"/>
      <c r="W84" s="4"/>
      <c r="X84" s="4"/>
      <c r="Y84" s="4"/>
      <c r="Z84" s="4"/>
    </row>
    <row r="85" ht="14.25" customHeight="1">
      <c r="A85" s="16" t="s">
        <v>260</v>
      </c>
      <c r="B85" s="23" t="s">
        <v>261</v>
      </c>
      <c r="C85" s="5" t="s">
        <v>262</v>
      </c>
      <c r="D85" s="5">
        <v>1.0</v>
      </c>
      <c r="E85" s="5">
        <v>15.0</v>
      </c>
      <c r="F85" s="5">
        <f t="shared" si="1"/>
        <v>15</v>
      </c>
      <c r="G85" s="14">
        <v>1.0</v>
      </c>
      <c r="H85" s="5" t="s">
        <v>116</v>
      </c>
      <c r="I85" s="5" t="s">
        <v>117</v>
      </c>
      <c r="J85" s="5" t="s">
        <v>118</v>
      </c>
      <c r="K85" s="5">
        <v>2850.0</v>
      </c>
      <c r="L85" s="5">
        <v>1600.0</v>
      </c>
      <c r="M85" s="5">
        <v>108000.0</v>
      </c>
      <c r="N85" s="5">
        <f>M85/'Input Costs'!$B$6</f>
        <v>1179.168031</v>
      </c>
      <c r="O85" s="5">
        <v>45.0</v>
      </c>
      <c r="P85" s="5">
        <v>10.0</v>
      </c>
      <c r="Q85" s="6">
        <f t="shared" si="2"/>
        <v>46062</v>
      </c>
      <c r="R85" s="24" t="s">
        <v>263</v>
      </c>
      <c r="S85" s="4"/>
      <c r="T85" s="4"/>
      <c r="U85" s="4"/>
      <c r="V85" s="4"/>
      <c r="W85" s="4"/>
      <c r="X85" s="4"/>
      <c r="Y85" s="4"/>
      <c r="Z85" s="4"/>
    </row>
    <row r="86" ht="14.25" customHeight="1">
      <c r="A86" s="22"/>
      <c r="B86" s="23" t="s">
        <v>264</v>
      </c>
      <c r="C86" s="5" t="s">
        <v>262</v>
      </c>
      <c r="D86" s="5">
        <v>1.0</v>
      </c>
      <c r="E86" s="5">
        <v>17.0</v>
      </c>
      <c r="F86" s="5">
        <f t="shared" si="1"/>
        <v>17</v>
      </c>
      <c r="G86" s="14">
        <v>1.0</v>
      </c>
      <c r="H86" s="5" t="s">
        <v>116</v>
      </c>
      <c r="I86" s="5" t="s">
        <v>117</v>
      </c>
      <c r="J86" s="5" t="s">
        <v>118</v>
      </c>
      <c r="K86" s="5">
        <v>2850.0</v>
      </c>
      <c r="L86" s="5">
        <v>1600.0</v>
      </c>
      <c r="M86" s="5">
        <v>105000.0</v>
      </c>
      <c r="N86" s="5">
        <f>M86/'Input Costs'!$B$6</f>
        <v>1146.413364</v>
      </c>
      <c r="O86" s="5">
        <v>45.0</v>
      </c>
      <c r="P86" s="5">
        <v>10.0</v>
      </c>
      <c r="Q86" s="6">
        <f t="shared" si="2"/>
        <v>46062</v>
      </c>
      <c r="R86" s="24" t="s">
        <v>263</v>
      </c>
      <c r="S86" s="4"/>
      <c r="T86" s="4"/>
      <c r="U86" s="4"/>
      <c r="V86" s="4"/>
      <c r="W86" s="4"/>
      <c r="X86" s="4"/>
      <c r="Y86" s="4"/>
      <c r="Z86" s="4"/>
    </row>
    <row r="87" ht="14.25" customHeight="1">
      <c r="A87" s="22"/>
      <c r="B87" s="23" t="s">
        <v>265</v>
      </c>
      <c r="C87" s="5" t="s">
        <v>262</v>
      </c>
      <c r="D87" s="5">
        <v>1.0</v>
      </c>
      <c r="E87" s="5">
        <v>18.0</v>
      </c>
      <c r="F87" s="5">
        <f t="shared" si="1"/>
        <v>18</v>
      </c>
      <c r="G87" s="14">
        <v>1.0</v>
      </c>
      <c r="H87" s="5" t="s">
        <v>116</v>
      </c>
      <c r="I87" s="5" t="s">
        <v>117</v>
      </c>
      <c r="J87" s="5" t="s">
        <v>118</v>
      </c>
      <c r="K87" s="5">
        <v>2850.0</v>
      </c>
      <c r="L87" s="5">
        <v>1600.0</v>
      </c>
      <c r="M87" s="5">
        <v>103000.0</v>
      </c>
      <c r="N87" s="5">
        <f>M87/'Input Costs'!$B$6</f>
        <v>1124.576919</v>
      </c>
      <c r="O87" s="5">
        <v>45.0</v>
      </c>
      <c r="P87" s="5">
        <v>10.0</v>
      </c>
      <c r="Q87" s="6">
        <f t="shared" si="2"/>
        <v>46062</v>
      </c>
      <c r="R87" s="24" t="s">
        <v>263</v>
      </c>
      <c r="S87" s="4"/>
      <c r="T87" s="4"/>
      <c r="U87" s="4"/>
      <c r="V87" s="4"/>
      <c r="W87" s="4"/>
      <c r="X87" s="4"/>
      <c r="Y87" s="4"/>
      <c r="Z87" s="4"/>
    </row>
    <row r="88" ht="14.25" customHeight="1">
      <c r="A88" s="22"/>
      <c r="B88" s="23" t="s">
        <v>266</v>
      </c>
      <c r="C88" s="5" t="s">
        <v>262</v>
      </c>
      <c r="D88" s="5">
        <v>1.0</v>
      </c>
      <c r="E88" s="5">
        <v>20.0</v>
      </c>
      <c r="F88" s="5">
        <f t="shared" si="1"/>
        <v>20</v>
      </c>
      <c r="G88" s="14">
        <v>1.0</v>
      </c>
      <c r="H88" s="5" t="s">
        <v>116</v>
      </c>
      <c r="I88" s="5" t="s">
        <v>117</v>
      </c>
      <c r="J88" s="5" t="s">
        <v>118</v>
      </c>
      <c r="K88" s="5">
        <v>2850.0</v>
      </c>
      <c r="L88" s="5">
        <v>1600.0</v>
      </c>
      <c r="M88" s="5">
        <v>100000.0</v>
      </c>
      <c r="N88" s="5">
        <f>M88/'Input Costs'!$B$6</f>
        <v>1091.822251</v>
      </c>
      <c r="O88" s="5">
        <v>45.0</v>
      </c>
      <c r="P88" s="5">
        <v>10.0</v>
      </c>
      <c r="Q88" s="6">
        <f t="shared" si="2"/>
        <v>46062</v>
      </c>
      <c r="R88" s="24" t="s">
        <v>263</v>
      </c>
      <c r="S88" s="4"/>
      <c r="T88" s="4"/>
      <c r="U88" s="4"/>
      <c r="V88" s="4"/>
      <c r="W88" s="4"/>
      <c r="X88" s="4"/>
      <c r="Y88" s="4"/>
      <c r="Z88" s="4"/>
    </row>
    <row r="89" ht="14.25" customHeight="1">
      <c r="A89" s="22"/>
      <c r="B89" s="23" t="s">
        <v>267</v>
      </c>
      <c r="C89" s="5" t="s">
        <v>262</v>
      </c>
      <c r="D89" s="5">
        <v>1.0</v>
      </c>
      <c r="E89" s="5">
        <v>22.0</v>
      </c>
      <c r="F89" s="5">
        <f t="shared" si="1"/>
        <v>22</v>
      </c>
      <c r="G89" s="14">
        <v>1.0</v>
      </c>
      <c r="H89" s="5" t="s">
        <v>116</v>
      </c>
      <c r="I89" s="5" t="s">
        <v>117</v>
      </c>
      <c r="J89" s="5" t="s">
        <v>118</v>
      </c>
      <c r="K89" s="5">
        <v>2850.0</v>
      </c>
      <c r="L89" s="5">
        <v>1600.0</v>
      </c>
      <c r="M89" s="5">
        <v>98000.0</v>
      </c>
      <c r="N89" s="5">
        <f>M89/'Input Costs'!$B$6</f>
        <v>1069.985806</v>
      </c>
      <c r="O89" s="5">
        <v>45.0</v>
      </c>
      <c r="P89" s="5">
        <v>10.0</v>
      </c>
      <c r="Q89" s="6">
        <f t="shared" si="2"/>
        <v>46062</v>
      </c>
      <c r="R89" s="24" t="s">
        <v>263</v>
      </c>
      <c r="S89" s="4"/>
      <c r="T89" s="4"/>
      <c r="U89" s="4"/>
      <c r="V89" s="4"/>
      <c r="W89" s="4"/>
      <c r="X89" s="4"/>
      <c r="Y89" s="4"/>
      <c r="Z89" s="4"/>
    </row>
    <row r="90" ht="14.25" customHeight="1">
      <c r="A90" s="22"/>
      <c r="B90" s="23" t="s">
        <v>268</v>
      </c>
      <c r="C90" s="5" t="s">
        <v>262</v>
      </c>
      <c r="D90" s="5">
        <v>1.0</v>
      </c>
      <c r="E90" s="5">
        <v>17.0</v>
      </c>
      <c r="F90" s="5">
        <f t="shared" si="1"/>
        <v>17</v>
      </c>
      <c r="G90" s="14">
        <v>1.0</v>
      </c>
      <c r="H90" s="5" t="s">
        <v>116</v>
      </c>
      <c r="I90" s="5" t="s">
        <v>117</v>
      </c>
      <c r="J90" s="5" t="s">
        <v>150</v>
      </c>
      <c r="K90" s="5">
        <v>2850.0</v>
      </c>
      <c r="L90" s="5">
        <v>1600.0</v>
      </c>
      <c r="M90" s="5">
        <v>120000.0</v>
      </c>
      <c r="N90" s="5">
        <f>M90/'Input Costs'!$B$6</f>
        <v>1310.186702</v>
      </c>
      <c r="O90" s="5">
        <v>45.0</v>
      </c>
      <c r="P90" s="5">
        <v>10.0</v>
      </c>
      <c r="Q90" s="6">
        <f t="shared" si="2"/>
        <v>46062</v>
      </c>
      <c r="R90" s="24" t="s">
        <v>269</v>
      </c>
      <c r="S90" s="4"/>
      <c r="T90" s="4"/>
      <c r="U90" s="4"/>
      <c r="V90" s="4"/>
      <c r="W90" s="4"/>
      <c r="X90" s="4"/>
      <c r="Y90" s="4"/>
      <c r="Z90" s="4"/>
    </row>
    <row r="91" ht="14.25" customHeight="1">
      <c r="A91" s="22"/>
      <c r="B91" s="23" t="s">
        <v>270</v>
      </c>
      <c r="C91" s="5" t="s">
        <v>262</v>
      </c>
      <c r="D91" s="5">
        <v>1.0</v>
      </c>
      <c r="E91" s="5">
        <v>18.0</v>
      </c>
      <c r="F91" s="5">
        <f t="shared" si="1"/>
        <v>18</v>
      </c>
      <c r="G91" s="14">
        <v>1.0</v>
      </c>
      <c r="H91" s="5" t="s">
        <v>116</v>
      </c>
      <c r="I91" s="5" t="s">
        <v>117</v>
      </c>
      <c r="J91" s="5" t="s">
        <v>150</v>
      </c>
      <c r="K91" s="5">
        <v>2850.0</v>
      </c>
      <c r="L91" s="5">
        <v>1600.0</v>
      </c>
      <c r="M91" s="5">
        <v>118000.0</v>
      </c>
      <c r="N91" s="5">
        <f>M91/'Input Costs'!$B$6</f>
        <v>1288.350257</v>
      </c>
      <c r="O91" s="5">
        <v>45.0</v>
      </c>
      <c r="P91" s="5">
        <v>10.0</v>
      </c>
      <c r="Q91" s="6">
        <f t="shared" si="2"/>
        <v>46062</v>
      </c>
      <c r="R91" s="24" t="s">
        <v>269</v>
      </c>
      <c r="S91" s="4"/>
      <c r="T91" s="4"/>
      <c r="U91" s="4"/>
      <c r="V91" s="4"/>
      <c r="W91" s="4"/>
      <c r="X91" s="4"/>
      <c r="Y91" s="4"/>
      <c r="Z91" s="4"/>
    </row>
    <row r="92" ht="14.25" customHeight="1">
      <c r="A92" s="22"/>
      <c r="B92" s="23" t="s">
        <v>271</v>
      </c>
      <c r="C92" s="5" t="s">
        <v>262</v>
      </c>
      <c r="D92" s="5">
        <v>1.0</v>
      </c>
      <c r="E92" s="5">
        <v>22.0</v>
      </c>
      <c r="F92" s="5">
        <f t="shared" si="1"/>
        <v>22</v>
      </c>
      <c r="G92" s="14">
        <v>1.0</v>
      </c>
      <c r="H92" s="5" t="s">
        <v>206</v>
      </c>
      <c r="I92" s="5" t="s">
        <v>117</v>
      </c>
      <c r="J92" s="5" t="s">
        <v>118</v>
      </c>
      <c r="K92" s="5">
        <v>2850.0</v>
      </c>
      <c r="L92" s="5">
        <v>1600.0</v>
      </c>
      <c r="M92" s="5">
        <v>115000.0</v>
      </c>
      <c r="N92" s="5">
        <f>M92/'Input Costs'!$B$6</f>
        <v>1255.595589</v>
      </c>
      <c r="O92" s="5">
        <v>45.0</v>
      </c>
      <c r="P92" s="5">
        <v>10.0</v>
      </c>
      <c r="Q92" s="6">
        <f t="shared" si="2"/>
        <v>46062</v>
      </c>
      <c r="R92" s="24" t="s">
        <v>272</v>
      </c>
      <c r="S92" s="4"/>
      <c r="T92" s="4"/>
      <c r="U92" s="4"/>
      <c r="V92" s="4"/>
      <c r="W92" s="4"/>
      <c r="X92" s="4"/>
      <c r="Y92" s="4"/>
      <c r="Z92" s="4"/>
    </row>
    <row r="93" ht="14.25" customHeight="1">
      <c r="A93" s="22"/>
      <c r="B93" s="23" t="s">
        <v>273</v>
      </c>
      <c r="C93" s="5" t="s">
        <v>262</v>
      </c>
      <c r="D93" s="5">
        <v>1.0</v>
      </c>
      <c r="E93" s="5">
        <v>17.0</v>
      </c>
      <c r="F93" s="5">
        <f t="shared" si="1"/>
        <v>17</v>
      </c>
      <c r="G93" s="14">
        <v>1.0</v>
      </c>
      <c r="H93" s="5" t="s">
        <v>116</v>
      </c>
      <c r="I93" s="5" t="s">
        <v>222</v>
      </c>
      <c r="J93" s="5" t="s">
        <v>150</v>
      </c>
      <c r="K93" s="5">
        <v>2850.0</v>
      </c>
      <c r="L93" s="5">
        <v>1600.0</v>
      </c>
      <c r="M93" s="5">
        <v>115000.0</v>
      </c>
      <c r="N93" s="5">
        <f>M93/'Input Costs'!$B$6</f>
        <v>1255.595589</v>
      </c>
      <c r="O93" s="5">
        <v>45.0</v>
      </c>
      <c r="P93" s="5">
        <v>10.0</v>
      </c>
      <c r="Q93" s="6">
        <f t="shared" si="2"/>
        <v>46062</v>
      </c>
      <c r="R93" s="24" t="s">
        <v>274</v>
      </c>
      <c r="S93" s="4"/>
      <c r="T93" s="4"/>
      <c r="U93" s="4"/>
      <c r="V93" s="4"/>
      <c r="W93" s="4"/>
      <c r="X93" s="4"/>
      <c r="Y93" s="4"/>
      <c r="Z93" s="4"/>
    </row>
    <row r="94" ht="14.25" customHeight="1">
      <c r="A94" s="25"/>
      <c r="B94" s="23" t="s">
        <v>275</v>
      </c>
      <c r="C94" s="5" t="s">
        <v>262</v>
      </c>
      <c r="D94" s="5">
        <v>1.0</v>
      </c>
      <c r="E94" s="5">
        <v>18.0</v>
      </c>
      <c r="F94" s="5">
        <f t="shared" si="1"/>
        <v>18</v>
      </c>
      <c r="G94" s="14">
        <v>1.0</v>
      </c>
      <c r="H94" s="5" t="s">
        <v>116</v>
      </c>
      <c r="I94" s="5" t="s">
        <v>222</v>
      </c>
      <c r="J94" s="5" t="s">
        <v>150</v>
      </c>
      <c r="K94" s="5">
        <v>2850.0</v>
      </c>
      <c r="L94" s="5">
        <v>1600.0</v>
      </c>
      <c r="M94" s="5">
        <v>113000.0</v>
      </c>
      <c r="N94" s="5">
        <f>M94/'Input Costs'!$B$6</f>
        <v>1233.759144</v>
      </c>
      <c r="O94" s="5">
        <v>45.0</v>
      </c>
      <c r="P94" s="5">
        <v>10.0</v>
      </c>
      <c r="Q94" s="6">
        <f t="shared" si="2"/>
        <v>46062</v>
      </c>
      <c r="R94" s="24" t="s">
        <v>274</v>
      </c>
      <c r="S94" s="4"/>
      <c r="T94" s="4"/>
      <c r="U94" s="4"/>
      <c r="V94" s="4"/>
      <c r="W94" s="4"/>
      <c r="X94" s="4"/>
      <c r="Y94" s="4"/>
      <c r="Z94" s="4"/>
    </row>
    <row r="95" ht="14.25" customHeight="1">
      <c r="A95" s="16" t="s">
        <v>276</v>
      </c>
      <c r="B95" s="23" t="s">
        <v>277</v>
      </c>
      <c r="C95" s="5" t="s">
        <v>262</v>
      </c>
      <c r="D95" s="5">
        <v>1.0</v>
      </c>
      <c r="E95" s="5">
        <v>14.0</v>
      </c>
      <c r="F95" s="5">
        <f t="shared" si="1"/>
        <v>14</v>
      </c>
      <c r="G95" s="14">
        <v>1.0</v>
      </c>
      <c r="H95" s="5" t="s">
        <v>116</v>
      </c>
      <c r="I95" s="5" t="s">
        <v>117</v>
      </c>
      <c r="J95" s="5" t="s">
        <v>150</v>
      </c>
      <c r="K95" s="5">
        <v>2850.0</v>
      </c>
      <c r="L95" s="5">
        <v>1600.0</v>
      </c>
      <c r="M95" s="5">
        <v>145000.0</v>
      </c>
      <c r="N95" s="5">
        <f>M95/'Input Costs'!$B$6</f>
        <v>1583.142264</v>
      </c>
      <c r="O95" s="5">
        <v>60.0</v>
      </c>
      <c r="P95" s="5">
        <v>10.0</v>
      </c>
      <c r="Q95" s="6">
        <f t="shared" si="2"/>
        <v>46062</v>
      </c>
      <c r="R95" s="24" t="s">
        <v>278</v>
      </c>
      <c r="S95" s="4"/>
      <c r="T95" s="4"/>
      <c r="U95" s="4"/>
      <c r="V95" s="4"/>
      <c r="W95" s="4"/>
      <c r="X95" s="4"/>
      <c r="Y95" s="4"/>
      <c r="Z95" s="4"/>
    </row>
    <row r="96" ht="14.25" customHeight="1">
      <c r="A96" s="22"/>
      <c r="B96" s="23" t="s">
        <v>279</v>
      </c>
      <c r="C96" s="5" t="s">
        <v>262</v>
      </c>
      <c r="D96" s="5">
        <v>1.0</v>
      </c>
      <c r="E96" s="5">
        <v>16.0</v>
      </c>
      <c r="F96" s="5">
        <f t="shared" si="1"/>
        <v>16</v>
      </c>
      <c r="G96" s="14">
        <v>1.0</v>
      </c>
      <c r="H96" s="5" t="s">
        <v>116</v>
      </c>
      <c r="I96" s="5" t="s">
        <v>117</v>
      </c>
      <c r="J96" s="5" t="s">
        <v>150</v>
      </c>
      <c r="K96" s="5">
        <v>2850.0</v>
      </c>
      <c r="L96" s="5">
        <v>1600.0</v>
      </c>
      <c r="M96" s="5">
        <v>140000.0</v>
      </c>
      <c r="N96" s="5">
        <f>M96/'Input Costs'!$B$6</f>
        <v>1528.551152</v>
      </c>
      <c r="O96" s="5">
        <v>60.0</v>
      </c>
      <c r="P96" s="5">
        <v>10.0</v>
      </c>
      <c r="Q96" s="6">
        <f t="shared" si="2"/>
        <v>46062</v>
      </c>
      <c r="R96" s="24" t="s">
        <v>278</v>
      </c>
      <c r="S96" s="4"/>
      <c r="T96" s="4"/>
      <c r="U96" s="4"/>
      <c r="V96" s="4"/>
      <c r="W96" s="4"/>
      <c r="X96" s="4"/>
      <c r="Y96" s="4"/>
      <c r="Z96" s="4"/>
    </row>
    <row r="97" ht="14.25" customHeight="1">
      <c r="A97" s="22"/>
      <c r="B97" s="23" t="s">
        <v>280</v>
      </c>
      <c r="C97" s="5" t="s">
        <v>262</v>
      </c>
      <c r="D97" s="5">
        <v>1.0</v>
      </c>
      <c r="E97" s="5">
        <v>18.0</v>
      </c>
      <c r="F97" s="5">
        <f t="shared" si="1"/>
        <v>18</v>
      </c>
      <c r="G97" s="14">
        <v>1.0</v>
      </c>
      <c r="H97" s="5" t="s">
        <v>116</v>
      </c>
      <c r="I97" s="5" t="s">
        <v>117</v>
      </c>
      <c r="J97" s="5" t="s">
        <v>150</v>
      </c>
      <c r="K97" s="5">
        <v>2850.0</v>
      </c>
      <c r="L97" s="5">
        <v>1600.0</v>
      </c>
      <c r="M97" s="5">
        <v>135000.0</v>
      </c>
      <c r="N97" s="5">
        <f>M97/'Input Costs'!$B$6</f>
        <v>1473.960039</v>
      </c>
      <c r="O97" s="5">
        <v>60.0</v>
      </c>
      <c r="P97" s="5">
        <v>10.0</v>
      </c>
      <c r="Q97" s="6">
        <f t="shared" si="2"/>
        <v>46062</v>
      </c>
      <c r="R97" s="24" t="s">
        <v>278</v>
      </c>
      <c r="S97" s="4"/>
      <c r="T97" s="4"/>
      <c r="U97" s="4"/>
      <c r="V97" s="4"/>
      <c r="W97" s="4"/>
      <c r="X97" s="4"/>
      <c r="Y97" s="4"/>
      <c r="Z97" s="4"/>
    </row>
    <row r="98" ht="14.25" customHeight="1">
      <c r="A98" s="22"/>
      <c r="B98" s="23" t="s">
        <v>281</v>
      </c>
      <c r="C98" s="5" t="s">
        <v>282</v>
      </c>
      <c r="D98" s="5">
        <v>1.0</v>
      </c>
      <c r="E98" s="5">
        <v>17.0</v>
      </c>
      <c r="F98" s="5">
        <f t="shared" si="1"/>
        <v>17</v>
      </c>
      <c r="G98" s="14">
        <v>1.0</v>
      </c>
      <c r="H98" s="5" t="s">
        <v>116</v>
      </c>
      <c r="I98" s="5" t="s">
        <v>222</v>
      </c>
      <c r="J98" s="5" t="s">
        <v>118</v>
      </c>
      <c r="K98" s="5">
        <v>2600.0</v>
      </c>
      <c r="L98" s="5">
        <v>1400.0</v>
      </c>
      <c r="M98" s="5">
        <v>125000.0</v>
      </c>
      <c r="N98" s="5">
        <f>M98/'Input Costs'!$B$6</f>
        <v>1364.777814</v>
      </c>
      <c r="O98" s="5">
        <v>45.0</v>
      </c>
      <c r="P98" s="5">
        <v>5.0</v>
      </c>
      <c r="Q98" s="6">
        <f t="shared" si="2"/>
        <v>46062</v>
      </c>
      <c r="R98" s="24" t="s">
        <v>283</v>
      </c>
      <c r="S98" s="4"/>
      <c r="T98" s="4"/>
      <c r="U98" s="4"/>
      <c r="V98" s="4"/>
      <c r="W98" s="4"/>
      <c r="X98" s="4"/>
      <c r="Y98" s="4"/>
      <c r="Z98" s="4"/>
    </row>
    <row r="99" ht="14.25" customHeight="1">
      <c r="A99" s="22"/>
      <c r="B99" s="23" t="s">
        <v>284</v>
      </c>
      <c r="C99" s="5" t="s">
        <v>282</v>
      </c>
      <c r="D99" s="5">
        <v>1.0</v>
      </c>
      <c r="E99" s="5">
        <v>18.0</v>
      </c>
      <c r="F99" s="5">
        <f t="shared" si="1"/>
        <v>18</v>
      </c>
      <c r="G99" s="14">
        <v>1.0</v>
      </c>
      <c r="H99" s="5" t="s">
        <v>116</v>
      </c>
      <c r="I99" s="5" t="s">
        <v>222</v>
      </c>
      <c r="J99" s="5" t="s">
        <v>118</v>
      </c>
      <c r="K99" s="5">
        <v>2600.0</v>
      </c>
      <c r="L99" s="5">
        <v>1400.0</v>
      </c>
      <c r="M99" s="5">
        <v>122000.0</v>
      </c>
      <c r="N99" s="5">
        <f>M99/'Input Costs'!$B$6</f>
        <v>1332.023147</v>
      </c>
      <c r="O99" s="5">
        <v>45.0</v>
      </c>
      <c r="P99" s="5">
        <v>5.0</v>
      </c>
      <c r="Q99" s="6">
        <f t="shared" si="2"/>
        <v>46062</v>
      </c>
      <c r="R99" s="24" t="s">
        <v>283</v>
      </c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2"/>
      <c r="B100" s="23" t="s">
        <v>285</v>
      </c>
      <c r="C100" s="5" t="s">
        <v>115</v>
      </c>
      <c r="D100" s="5">
        <v>1.0</v>
      </c>
      <c r="E100" s="5">
        <v>17.0</v>
      </c>
      <c r="F100" s="5">
        <f t="shared" si="1"/>
        <v>17</v>
      </c>
      <c r="G100" s="14">
        <v>1.0</v>
      </c>
      <c r="H100" s="5" t="s">
        <v>116</v>
      </c>
      <c r="I100" s="5" t="s">
        <v>117</v>
      </c>
      <c r="J100" s="5" t="s">
        <v>118</v>
      </c>
      <c r="K100" s="5">
        <v>2800.0</v>
      </c>
      <c r="L100" s="5">
        <v>1500.0</v>
      </c>
      <c r="M100" s="5">
        <v>108000.0</v>
      </c>
      <c r="N100" s="5">
        <f>M100/'Input Costs'!$B$6</f>
        <v>1179.168031</v>
      </c>
      <c r="O100" s="5">
        <v>25.0</v>
      </c>
      <c r="P100" s="5">
        <v>5.0</v>
      </c>
      <c r="Q100" s="6">
        <f t="shared" si="2"/>
        <v>46062</v>
      </c>
      <c r="R100" s="24" t="s">
        <v>286</v>
      </c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22"/>
      <c r="B101" s="23" t="s">
        <v>287</v>
      </c>
      <c r="C101" s="5" t="s">
        <v>115</v>
      </c>
      <c r="D101" s="5">
        <v>1.0</v>
      </c>
      <c r="E101" s="5">
        <v>18.0</v>
      </c>
      <c r="F101" s="5">
        <f t="shared" si="1"/>
        <v>18</v>
      </c>
      <c r="G101" s="14">
        <v>1.0</v>
      </c>
      <c r="H101" s="5" t="s">
        <v>116</v>
      </c>
      <c r="I101" s="5" t="s">
        <v>117</v>
      </c>
      <c r="J101" s="5" t="s">
        <v>118</v>
      </c>
      <c r="K101" s="5">
        <v>2800.0</v>
      </c>
      <c r="L101" s="5">
        <v>1500.0</v>
      </c>
      <c r="M101" s="5">
        <v>106000.0</v>
      </c>
      <c r="N101" s="5">
        <f>M101/'Input Costs'!$B$6</f>
        <v>1157.331586</v>
      </c>
      <c r="O101" s="5">
        <v>25.0</v>
      </c>
      <c r="P101" s="5">
        <v>5.0</v>
      </c>
      <c r="Q101" s="6">
        <f t="shared" si="2"/>
        <v>46062</v>
      </c>
      <c r="R101" s="24" t="s">
        <v>286</v>
      </c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2"/>
      <c r="B102" s="23" t="s">
        <v>288</v>
      </c>
      <c r="C102" s="5" t="s">
        <v>115</v>
      </c>
      <c r="D102" s="5">
        <v>1.0</v>
      </c>
      <c r="E102" s="5">
        <v>17.0</v>
      </c>
      <c r="F102" s="5">
        <f t="shared" si="1"/>
        <v>17</v>
      </c>
      <c r="G102" s="14">
        <v>1.0</v>
      </c>
      <c r="H102" s="5" t="s">
        <v>116</v>
      </c>
      <c r="I102" s="5" t="s">
        <v>117</v>
      </c>
      <c r="J102" s="5" t="s">
        <v>118</v>
      </c>
      <c r="K102" s="5">
        <v>2800.0</v>
      </c>
      <c r="L102" s="5">
        <v>1500.0</v>
      </c>
      <c r="M102" s="5">
        <v>110000.0</v>
      </c>
      <c r="N102" s="5">
        <f>M102/'Input Costs'!$B$6</f>
        <v>1201.004476</v>
      </c>
      <c r="O102" s="5">
        <v>25.0</v>
      </c>
      <c r="P102" s="5">
        <v>5.0</v>
      </c>
      <c r="Q102" s="6">
        <f t="shared" si="2"/>
        <v>46062</v>
      </c>
      <c r="R102" s="24" t="s">
        <v>289</v>
      </c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25"/>
      <c r="B103" s="23" t="s">
        <v>290</v>
      </c>
      <c r="C103" s="5" t="s">
        <v>115</v>
      </c>
      <c r="D103" s="5">
        <v>1.0</v>
      </c>
      <c r="E103" s="5">
        <v>18.0</v>
      </c>
      <c r="F103" s="5">
        <f t="shared" si="1"/>
        <v>18</v>
      </c>
      <c r="G103" s="14">
        <v>1.0</v>
      </c>
      <c r="H103" s="5" t="s">
        <v>116</v>
      </c>
      <c r="I103" s="5" t="s">
        <v>117</v>
      </c>
      <c r="J103" s="5" t="s">
        <v>118</v>
      </c>
      <c r="K103" s="5">
        <v>2800.0</v>
      </c>
      <c r="L103" s="5">
        <v>1500.0</v>
      </c>
      <c r="M103" s="5">
        <v>108000.0</v>
      </c>
      <c r="N103" s="5">
        <f>M103/'Input Costs'!$B$6</f>
        <v>1179.168031</v>
      </c>
      <c r="O103" s="5">
        <v>25.0</v>
      </c>
      <c r="P103" s="5">
        <v>5.0</v>
      </c>
      <c r="Q103" s="6">
        <f t="shared" si="2"/>
        <v>46062</v>
      </c>
      <c r="R103" s="24" t="s">
        <v>289</v>
      </c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16" t="s">
        <v>291</v>
      </c>
      <c r="B104" s="23" t="s">
        <v>292</v>
      </c>
      <c r="C104" s="5" t="s">
        <v>115</v>
      </c>
      <c r="D104" s="5">
        <v>2.0</v>
      </c>
      <c r="E104" s="5">
        <v>13.0</v>
      </c>
      <c r="F104" s="5">
        <f t="shared" si="1"/>
        <v>26</v>
      </c>
      <c r="G104" s="14">
        <v>1.0</v>
      </c>
      <c r="H104" s="5" t="s">
        <v>293</v>
      </c>
      <c r="I104" s="5" t="s">
        <v>117</v>
      </c>
      <c r="J104" s="5" t="s">
        <v>118</v>
      </c>
      <c r="K104" s="5">
        <v>2800.0</v>
      </c>
      <c r="L104" s="5">
        <v>1500.0</v>
      </c>
      <c r="M104" s="5">
        <v>118000.0</v>
      </c>
      <c r="N104" s="5">
        <f>M104/'Input Costs'!$B$6</f>
        <v>1288.350257</v>
      </c>
      <c r="O104" s="5">
        <v>25.0</v>
      </c>
      <c r="P104" s="5">
        <v>5.0</v>
      </c>
      <c r="Q104" s="6">
        <f t="shared" si="2"/>
        <v>46062</v>
      </c>
      <c r="R104" s="24" t="s">
        <v>294</v>
      </c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22"/>
      <c r="B105" s="23" t="s">
        <v>295</v>
      </c>
      <c r="C105" s="5" t="s">
        <v>115</v>
      </c>
      <c r="D105" s="5">
        <v>2.0</v>
      </c>
      <c r="E105" s="5">
        <v>14.0</v>
      </c>
      <c r="F105" s="5">
        <f t="shared" si="1"/>
        <v>28</v>
      </c>
      <c r="G105" s="14">
        <v>1.0</v>
      </c>
      <c r="H105" s="5" t="s">
        <v>293</v>
      </c>
      <c r="I105" s="5" t="s">
        <v>117</v>
      </c>
      <c r="J105" s="5" t="s">
        <v>118</v>
      </c>
      <c r="K105" s="5">
        <v>2800.0</v>
      </c>
      <c r="L105" s="5">
        <v>1500.0</v>
      </c>
      <c r="M105" s="5">
        <v>114000.0</v>
      </c>
      <c r="N105" s="5">
        <f>M105/'Input Costs'!$B$6</f>
        <v>1244.677367</v>
      </c>
      <c r="O105" s="5">
        <v>25.0</v>
      </c>
      <c r="P105" s="5">
        <v>5.0</v>
      </c>
      <c r="Q105" s="6">
        <f t="shared" si="2"/>
        <v>46062</v>
      </c>
      <c r="R105" s="24" t="s">
        <v>296</v>
      </c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22"/>
      <c r="B106" s="23" t="s">
        <v>297</v>
      </c>
      <c r="C106" s="5" t="s">
        <v>115</v>
      </c>
      <c r="D106" s="5">
        <v>2.0</v>
      </c>
      <c r="E106" s="5">
        <v>15.0</v>
      </c>
      <c r="F106" s="5">
        <f t="shared" si="1"/>
        <v>30</v>
      </c>
      <c r="G106" s="14">
        <v>1.0</v>
      </c>
      <c r="H106" s="5" t="s">
        <v>293</v>
      </c>
      <c r="I106" s="5" t="s">
        <v>117</v>
      </c>
      <c r="J106" s="5" t="s">
        <v>118</v>
      </c>
      <c r="K106" s="5">
        <v>2800.0</v>
      </c>
      <c r="L106" s="5">
        <v>1500.0</v>
      </c>
      <c r="M106" s="5">
        <v>111000.0</v>
      </c>
      <c r="N106" s="5">
        <f>M106/'Input Costs'!$B$6</f>
        <v>1211.922699</v>
      </c>
      <c r="O106" s="5">
        <v>25.0</v>
      </c>
      <c r="P106" s="5">
        <v>5.0</v>
      </c>
      <c r="Q106" s="6">
        <f t="shared" si="2"/>
        <v>46062</v>
      </c>
      <c r="R106" s="24" t="s">
        <v>298</v>
      </c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2"/>
      <c r="B107" s="23" t="s">
        <v>299</v>
      </c>
      <c r="C107" s="5" t="s">
        <v>115</v>
      </c>
      <c r="D107" s="5">
        <v>2.0</v>
      </c>
      <c r="E107" s="5">
        <v>16.0</v>
      </c>
      <c r="F107" s="5">
        <f t="shared" si="1"/>
        <v>32</v>
      </c>
      <c r="G107" s="14">
        <v>1.0</v>
      </c>
      <c r="H107" s="5" t="s">
        <v>293</v>
      </c>
      <c r="I107" s="5" t="s">
        <v>117</v>
      </c>
      <c r="J107" s="5" t="s">
        <v>118</v>
      </c>
      <c r="K107" s="5">
        <v>2800.0</v>
      </c>
      <c r="L107" s="5">
        <v>1500.0</v>
      </c>
      <c r="M107" s="5">
        <v>109000.0</v>
      </c>
      <c r="N107" s="5">
        <f>M107/'Input Costs'!$B$6</f>
        <v>1190.086254</v>
      </c>
      <c r="O107" s="5">
        <v>25.0</v>
      </c>
      <c r="P107" s="5">
        <v>5.0</v>
      </c>
      <c r="Q107" s="6">
        <f t="shared" si="2"/>
        <v>46062</v>
      </c>
      <c r="R107" s="24" t="s">
        <v>300</v>
      </c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22"/>
      <c r="B108" s="23" t="s">
        <v>301</v>
      </c>
      <c r="C108" s="5" t="s">
        <v>115</v>
      </c>
      <c r="D108" s="5">
        <v>2.0</v>
      </c>
      <c r="E108" s="5">
        <v>17.0</v>
      </c>
      <c r="F108" s="5">
        <f t="shared" si="1"/>
        <v>34</v>
      </c>
      <c r="G108" s="14">
        <v>1.0</v>
      </c>
      <c r="H108" s="5" t="s">
        <v>293</v>
      </c>
      <c r="I108" s="5" t="s">
        <v>117</v>
      </c>
      <c r="J108" s="5" t="s">
        <v>118</v>
      </c>
      <c r="K108" s="5">
        <v>2800.0</v>
      </c>
      <c r="L108" s="5">
        <v>1500.0</v>
      </c>
      <c r="M108" s="5">
        <v>108000.0</v>
      </c>
      <c r="N108" s="5">
        <f>M108/'Input Costs'!$B$6</f>
        <v>1179.168031</v>
      </c>
      <c r="O108" s="5">
        <v>25.0</v>
      </c>
      <c r="P108" s="5">
        <v>5.0</v>
      </c>
      <c r="Q108" s="6">
        <f t="shared" si="2"/>
        <v>46062</v>
      </c>
      <c r="R108" s="24" t="s">
        <v>302</v>
      </c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22"/>
      <c r="B109" s="23" t="s">
        <v>303</v>
      </c>
      <c r="C109" s="5" t="s">
        <v>115</v>
      </c>
      <c r="D109" s="5">
        <v>2.0</v>
      </c>
      <c r="E109" s="5">
        <v>18.0</v>
      </c>
      <c r="F109" s="5">
        <f t="shared" si="1"/>
        <v>36</v>
      </c>
      <c r="G109" s="14">
        <v>1.0</v>
      </c>
      <c r="H109" s="5" t="s">
        <v>293</v>
      </c>
      <c r="I109" s="5" t="s">
        <v>117</v>
      </c>
      <c r="J109" s="5" t="s">
        <v>118</v>
      </c>
      <c r="K109" s="5">
        <v>2800.0</v>
      </c>
      <c r="L109" s="5">
        <v>1500.0</v>
      </c>
      <c r="M109" s="5">
        <v>106000.0</v>
      </c>
      <c r="N109" s="5">
        <f>M109/'Input Costs'!$B$6</f>
        <v>1157.331586</v>
      </c>
      <c r="O109" s="5">
        <v>25.0</v>
      </c>
      <c r="P109" s="5">
        <v>5.0</v>
      </c>
      <c r="Q109" s="6">
        <f t="shared" si="2"/>
        <v>46062</v>
      </c>
      <c r="R109" s="24" t="s">
        <v>304</v>
      </c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22"/>
      <c r="B110" s="23" t="s">
        <v>305</v>
      </c>
      <c r="C110" s="5" t="s">
        <v>115</v>
      </c>
      <c r="D110" s="5">
        <v>2.0</v>
      </c>
      <c r="E110" s="5">
        <v>19.0</v>
      </c>
      <c r="F110" s="5">
        <f t="shared" si="1"/>
        <v>38</v>
      </c>
      <c r="G110" s="14">
        <v>1.0</v>
      </c>
      <c r="H110" s="5" t="s">
        <v>293</v>
      </c>
      <c r="I110" s="5" t="s">
        <v>117</v>
      </c>
      <c r="J110" s="5" t="s">
        <v>118</v>
      </c>
      <c r="K110" s="5">
        <v>2800.0</v>
      </c>
      <c r="L110" s="5">
        <v>1500.0</v>
      </c>
      <c r="M110" s="5">
        <v>104000.0</v>
      </c>
      <c r="N110" s="5">
        <f>M110/'Input Costs'!$B$6</f>
        <v>1135.495141</v>
      </c>
      <c r="O110" s="5">
        <v>25.0</v>
      </c>
      <c r="P110" s="5">
        <v>5.0</v>
      </c>
      <c r="Q110" s="6">
        <f t="shared" si="2"/>
        <v>46062</v>
      </c>
      <c r="R110" s="24" t="s">
        <v>306</v>
      </c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22"/>
      <c r="B111" s="23" t="s">
        <v>307</v>
      </c>
      <c r="C111" s="5" t="s">
        <v>115</v>
      </c>
      <c r="D111" s="5">
        <v>2.0</v>
      </c>
      <c r="E111" s="5">
        <v>20.0</v>
      </c>
      <c r="F111" s="5">
        <f t="shared" si="1"/>
        <v>40</v>
      </c>
      <c r="G111" s="14">
        <v>1.0</v>
      </c>
      <c r="H111" s="5" t="s">
        <v>293</v>
      </c>
      <c r="I111" s="5" t="s">
        <v>117</v>
      </c>
      <c r="J111" s="5" t="s">
        <v>118</v>
      </c>
      <c r="K111" s="5">
        <v>2800.0</v>
      </c>
      <c r="L111" s="5">
        <v>1500.0</v>
      </c>
      <c r="M111" s="5">
        <v>103000.0</v>
      </c>
      <c r="N111" s="5">
        <f>M111/'Input Costs'!$B$6</f>
        <v>1124.576919</v>
      </c>
      <c r="O111" s="5">
        <v>25.0</v>
      </c>
      <c r="P111" s="5">
        <v>5.0</v>
      </c>
      <c r="Q111" s="6">
        <f t="shared" si="2"/>
        <v>46062</v>
      </c>
      <c r="R111" s="24" t="s">
        <v>308</v>
      </c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22"/>
      <c r="B112" s="23" t="s">
        <v>309</v>
      </c>
      <c r="C112" s="5" t="s">
        <v>115</v>
      </c>
      <c r="D112" s="5">
        <v>2.0</v>
      </c>
      <c r="E112" s="5">
        <v>21.0</v>
      </c>
      <c r="F112" s="5">
        <f t="shared" si="1"/>
        <v>42</v>
      </c>
      <c r="G112" s="14">
        <v>1.0</v>
      </c>
      <c r="H112" s="5" t="s">
        <v>293</v>
      </c>
      <c r="I112" s="5" t="s">
        <v>117</v>
      </c>
      <c r="J112" s="5" t="s">
        <v>118</v>
      </c>
      <c r="K112" s="5">
        <v>2800.0</v>
      </c>
      <c r="L112" s="5">
        <v>1500.0</v>
      </c>
      <c r="M112" s="5">
        <v>102000.0</v>
      </c>
      <c r="N112" s="5">
        <f>M112/'Input Costs'!$B$6</f>
        <v>1113.658696</v>
      </c>
      <c r="O112" s="5">
        <v>25.0</v>
      </c>
      <c r="P112" s="5">
        <v>5.0</v>
      </c>
      <c r="Q112" s="6">
        <f t="shared" si="2"/>
        <v>46062</v>
      </c>
      <c r="R112" s="24" t="s">
        <v>310</v>
      </c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22"/>
      <c r="B113" s="23" t="s">
        <v>311</v>
      </c>
      <c r="C113" s="5" t="s">
        <v>115</v>
      </c>
      <c r="D113" s="5">
        <v>2.0</v>
      </c>
      <c r="E113" s="5">
        <v>22.0</v>
      </c>
      <c r="F113" s="5">
        <f t="shared" si="1"/>
        <v>44</v>
      </c>
      <c r="G113" s="14">
        <v>1.0</v>
      </c>
      <c r="H113" s="5" t="s">
        <v>293</v>
      </c>
      <c r="I113" s="5" t="s">
        <v>117</v>
      </c>
      <c r="J113" s="5" t="s">
        <v>118</v>
      </c>
      <c r="K113" s="5">
        <v>2800.0</v>
      </c>
      <c r="L113" s="5">
        <v>1500.0</v>
      </c>
      <c r="M113" s="5">
        <v>101000.0</v>
      </c>
      <c r="N113" s="5">
        <f>M113/'Input Costs'!$B$6</f>
        <v>1102.740474</v>
      </c>
      <c r="O113" s="5">
        <v>25.0</v>
      </c>
      <c r="P113" s="5">
        <v>5.0</v>
      </c>
      <c r="Q113" s="6">
        <f t="shared" si="2"/>
        <v>46062</v>
      </c>
      <c r="R113" s="24" t="s">
        <v>312</v>
      </c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22"/>
      <c r="B114" s="23" t="s">
        <v>313</v>
      </c>
      <c r="C114" s="5" t="s">
        <v>115</v>
      </c>
      <c r="D114" s="5">
        <v>2.0</v>
      </c>
      <c r="E114" s="5">
        <v>23.0</v>
      </c>
      <c r="F114" s="5">
        <f t="shared" si="1"/>
        <v>46</v>
      </c>
      <c r="G114" s="14">
        <v>1.0</v>
      </c>
      <c r="H114" s="5" t="s">
        <v>293</v>
      </c>
      <c r="I114" s="5" t="s">
        <v>117</v>
      </c>
      <c r="J114" s="5" t="s">
        <v>118</v>
      </c>
      <c r="K114" s="5">
        <v>2800.0</v>
      </c>
      <c r="L114" s="5">
        <v>1500.0</v>
      </c>
      <c r="M114" s="5">
        <v>100000.0</v>
      </c>
      <c r="N114" s="5">
        <f>M114/'Input Costs'!$B$6</f>
        <v>1091.822251</v>
      </c>
      <c r="O114" s="5">
        <v>25.0</v>
      </c>
      <c r="P114" s="5">
        <v>5.0</v>
      </c>
      <c r="Q114" s="6">
        <f t="shared" si="2"/>
        <v>46062</v>
      </c>
      <c r="R114" s="24" t="s">
        <v>314</v>
      </c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22"/>
      <c r="B115" s="23" t="s">
        <v>315</v>
      </c>
      <c r="C115" s="5" t="s">
        <v>115</v>
      </c>
      <c r="D115" s="5">
        <v>2.0</v>
      </c>
      <c r="E115" s="5">
        <v>24.0</v>
      </c>
      <c r="F115" s="5">
        <f t="shared" si="1"/>
        <v>48</v>
      </c>
      <c r="G115" s="14">
        <v>1.0</v>
      </c>
      <c r="H115" s="5" t="s">
        <v>293</v>
      </c>
      <c r="I115" s="5" t="s">
        <v>117</v>
      </c>
      <c r="J115" s="5" t="s">
        <v>118</v>
      </c>
      <c r="K115" s="5">
        <v>2800.0</v>
      </c>
      <c r="L115" s="5">
        <v>1500.0</v>
      </c>
      <c r="M115" s="5">
        <v>99000.0</v>
      </c>
      <c r="N115" s="5">
        <f>M115/'Input Costs'!$B$6</f>
        <v>1080.904029</v>
      </c>
      <c r="O115" s="5">
        <v>25.0</v>
      </c>
      <c r="P115" s="5">
        <v>5.0</v>
      </c>
      <c r="Q115" s="6">
        <f t="shared" si="2"/>
        <v>46062</v>
      </c>
      <c r="R115" s="24" t="s">
        <v>316</v>
      </c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22"/>
      <c r="B116" s="23" t="s">
        <v>317</v>
      </c>
      <c r="C116" s="5" t="s">
        <v>115</v>
      </c>
      <c r="D116" s="5">
        <v>2.0</v>
      </c>
      <c r="E116" s="5">
        <v>25.0</v>
      </c>
      <c r="F116" s="5">
        <f t="shared" si="1"/>
        <v>50</v>
      </c>
      <c r="G116" s="14">
        <v>1.0</v>
      </c>
      <c r="H116" s="5" t="s">
        <v>293</v>
      </c>
      <c r="I116" s="5" t="s">
        <v>117</v>
      </c>
      <c r="J116" s="5" t="s">
        <v>118</v>
      </c>
      <c r="K116" s="5">
        <v>2800.0</v>
      </c>
      <c r="L116" s="5">
        <v>1500.0</v>
      </c>
      <c r="M116" s="5">
        <v>98000.0</v>
      </c>
      <c r="N116" s="5">
        <f>M116/'Input Costs'!$B$6</f>
        <v>1069.985806</v>
      </c>
      <c r="O116" s="5">
        <v>25.0</v>
      </c>
      <c r="P116" s="5">
        <v>5.0</v>
      </c>
      <c r="Q116" s="6">
        <f t="shared" si="2"/>
        <v>46062</v>
      </c>
      <c r="R116" s="24" t="s">
        <v>318</v>
      </c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22"/>
      <c r="B117" s="23" t="s">
        <v>319</v>
      </c>
      <c r="C117" s="5" t="s">
        <v>115</v>
      </c>
      <c r="D117" s="5">
        <v>2.0</v>
      </c>
      <c r="E117" s="5">
        <v>28.0</v>
      </c>
      <c r="F117" s="5">
        <f t="shared" si="1"/>
        <v>56</v>
      </c>
      <c r="G117" s="14">
        <v>1.0</v>
      </c>
      <c r="H117" s="5" t="s">
        <v>293</v>
      </c>
      <c r="I117" s="5" t="s">
        <v>117</v>
      </c>
      <c r="J117" s="5" t="s">
        <v>118</v>
      </c>
      <c r="K117" s="5">
        <v>2800.0</v>
      </c>
      <c r="L117" s="5">
        <v>1500.0</v>
      </c>
      <c r="M117" s="5">
        <v>96000.0</v>
      </c>
      <c r="N117" s="5">
        <f>M117/'Input Costs'!$B$6</f>
        <v>1048.149361</v>
      </c>
      <c r="O117" s="5">
        <v>25.0</v>
      </c>
      <c r="P117" s="5">
        <v>5.0</v>
      </c>
      <c r="Q117" s="6">
        <f t="shared" si="2"/>
        <v>46062</v>
      </c>
      <c r="R117" s="24" t="s">
        <v>320</v>
      </c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5"/>
      <c r="B118" s="23" t="s">
        <v>321</v>
      </c>
      <c r="C118" s="5" t="s">
        <v>115</v>
      </c>
      <c r="D118" s="5">
        <v>2.0</v>
      </c>
      <c r="E118" s="5">
        <v>30.0</v>
      </c>
      <c r="F118" s="5">
        <f t="shared" si="1"/>
        <v>60</v>
      </c>
      <c r="G118" s="14">
        <v>1.0</v>
      </c>
      <c r="H118" s="5" t="s">
        <v>293</v>
      </c>
      <c r="I118" s="5" t="s">
        <v>117</v>
      </c>
      <c r="J118" s="5" t="s">
        <v>118</v>
      </c>
      <c r="K118" s="5">
        <v>2800.0</v>
      </c>
      <c r="L118" s="5">
        <v>1500.0</v>
      </c>
      <c r="M118" s="5">
        <v>94000.0</v>
      </c>
      <c r="N118" s="5">
        <f>M118/'Input Costs'!$B$6</f>
        <v>1026.312916</v>
      </c>
      <c r="O118" s="5">
        <v>25.0</v>
      </c>
      <c r="P118" s="5">
        <v>5.0</v>
      </c>
      <c r="Q118" s="6">
        <f t="shared" si="2"/>
        <v>46062</v>
      </c>
      <c r="R118" s="24" t="s">
        <v>322</v>
      </c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16" t="s">
        <v>323</v>
      </c>
      <c r="B119" s="23" t="s">
        <v>324</v>
      </c>
      <c r="C119" s="5" t="s">
        <v>115</v>
      </c>
      <c r="D119" s="5">
        <v>2.0</v>
      </c>
      <c r="E119" s="5">
        <v>13.0</v>
      </c>
      <c r="F119" s="5">
        <f t="shared" si="1"/>
        <v>26</v>
      </c>
      <c r="G119" s="14">
        <v>1.0</v>
      </c>
      <c r="H119" s="5" t="s">
        <v>293</v>
      </c>
      <c r="I119" s="5" t="s">
        <v>117</v>
      </c>
      <c r="J119" s="5" t="s">
        <v>150</v>
      </c>
      <c r="K119" s="5">
        <v>2800.0</v>
      </c>
      <c r="L119" s="5">
        <v>1500.0</v>
      </c>
      <c r="M119" s="5">
        <v>132000.0</v>
      </c>
      <c r="N119" s="5">
        <f>M119/'Input Costs'!$B$6</f>
        <v>1441.205372</v>
      </c>
      <c r="O119" s="5">
        <v>28.0</v>
      </c>
      <c r="P119" s="5">
        <v>5.0</v>
      </c>
      <c r="Q119" s="6">
        <f t="shared" si="2"/>
        <v>46062</v>
      </c>
      <c r="R119" s="24" t="s">
        <v>325</v>
      </c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22"/>
      <c r="B120" s="23" t="s">
        <v>326</v>
      </c>
      <c r="C120" s="5" t="s">
        <v>115</v>
      </c>
      <c r="D120" s="5">
        <v>2.0</v>
      </c>
      <c r="E120" s="5">
        <v>14.0</v>
      </c>
      <c r="F120" s="5">
        <f t="shared" si="1"/>
        <v>28</v>
      </c>
      <c r="G120" s="14">
        <v>1.0</v>
      </c>
      <c r="H120" s="5" t="s">
        <v>293</v>
      </c>
      <c r="I120" s="5" t="s">
        <v>117</v>
      </c>
      <c r="J120" s="5" t="s">
        <v>150</v>
      </c>
      <c r="K120" s="5">
        <v>2800.0</v>
      </c>
      <c r="L120" s="5">
        <v>1500.0</v>
      </c>
      <c r="M120" s="5">
        <v>129000.0</v>
      </c>
      <c r="N120" s="5">
        <f>M120/'Input Costs'!$B$6</f>
        <v>1408.450704</v>
      </c>
      <c r="O120" s="5">
        <v>28.0</v>
      </c>
      <c r="P120" s="5">
        <v>5.0</v>
      </c>
      <c r="Q120" s="6">
        <f t="shared" si="2"/>
        <v>46062</v>
      </c>
      <c r="R120" s="24" t="s">
        <v>325</v>
      </c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22"/>
      <c r="B121" s="23" t="s">
        <v>327</v>
      </c>
      <c r="C121" s="5" t="s">
        <v>115</v>
      </c>
      <c r="D121" s="5">
        <v>2.0</v>
      </c>
      <c r="E121" s="5">
        <v>15.0</v>
      </c>
      <c r="F121" s="5">
        <f t="shared" si="1"/>
        <v>30</v>
      </c>
      <c r="G121" s="14">
        <v>1.0</v>
      </c>
      <c r="H121" s="5" t="s">
        <v>293</v>
      </c>
      <c r="I121" s="5" t="s">
        <v>117</v>
      </c>
      <c r="J121" s="5" t="s">
        <v>150</v>
      </c>
      <c r="K121" s="5">
        <v>2800.0</v>
      </c>
      <c r="L121" s="5">
        <v>1500.0</v>
      </c>
      <c r="M121" s="5">
        <v>125000.0</v>
      </c>
      <c r="N121" s="5">
        <f>M121/'Input Costs'!$B$6</f>
        <v>1364.777814</v>
      </c>
      <c r="O121" s="5">
        <v>28.0</v>
      </c>
      <c r="P121" s="5">
        <v>5.0</v>
      </c>
      <c r="Q121" s="6">
        <f t="shared" si="2"/>
        <v>46062</v>
      </c>
      <c r="R121" s="24" t="s">
        <v>328</v>
      </c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22"/>
      <c r="B122" s="23" t="s">
        <v>329</v>
      </c>
      <c r="C122" s="5" t="s">
        <v>115</v>
      </c>
      <c r="D122" s="5">
        <v>2.0</v>
      </c>
      <c r="E122" s="5">
        <v>16.0</v>
      </c>
      <c r="F122" s="5">
        <f t="shared" si="1"/>
        <v>32</v>
      </c>
      <c r="G122" s="14">
        <v>1.0</v>
      </c>
      <c r="H122" s="5" t="s">
        <v>293</v>
      </c>
      <c r="I122" s="5" t="s">
        <v>117</v>
      </c>
      <c r="J122" s="5" t="s">
        <v>150</v>
      </c>
      <c r="K122" s="5">
        <v>2800.0</v>
      </c>
      <c r="L122" s="5">
        <v>1500.0</v>
      </c>
      <c r="M122" s="5">
        <v>123000.0</v>
      </c>
      <c r="N122" s="5">
        <f>M122/'Input Costs'!$B$6</f>
        <v>1342.941369</v>
      </c>
      <c r="O122" s="5">
        <v>28.0</v>
      </c>
      <c r="P122" s="5">
        <v>5.0</v>
      </c>
      <c r="Q122" s="6">
        <f t="shared" si="2"/>
        <v>46062</v>
      </c>
      <c r="R122" s="24" t="s">
        <v>328</v>
      </c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22"/>
      <c r="B123" s="23" t="s">
        <v>330</v>
      </c>
      <c r="C123" s="5" t="s">
        <v>115</v>
      </c>
      <c r="D123" s="5">
        <v>2.0</v>
      </c>
      <c r="E123" s="5">
        <v>17.0</v>
      </c>
      <c r="F123" s="5">
        <f t="shared" si="1"/>
        <v>34</v>
      </c>
      <c r="G123" s="14">
        <v>1.0</v>
      </c>
      <c r="H123" s="5" t="s">
        <v>293</v>
      </c>
      <c r="I123" s="5" t="s">
        <v>117</v>
      </c>
      <c r="J123" s="5" t="s">
        <v>150</v>
      </c>
      <c r="K123" s="5">
        <v>2800.0</v>
      </c>
      <c r="L123" s="5">
        <v>1500.0</v>
      </c>
      <c r="M123" s="5">
        <v>121000.0</v>
      </c>
      <c r="N123" s="5">
        <f>M123/'Input Costs'!$B$6</f>
        <v>1321.104924</v>
      </c>
      <c r="O123" s="5">
        <v>28.0</v>
      </c>
      <c r="P123" s="5">
        <v>5.0</v>
      </c>
      <c r="Q123" s="6">
        <f t="shared" si="2"/>
        <v>46062</v>
      </c>
      <c r="R123" s="24" t="s">
        <v>331</v>
      </c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22"/>
      <c r="B124" s="23" t="s">
        <v>332</v>
      </c>
      <c r="C124" s="5" t="s">
        <v>115</v>
      </c>
      <c r="D124" s="5">
        <v>2.0</v>
      </c>
      <c r="E124" s="5">
        <v>18.0</v>
      </c>
      <c r="F124" s="5">
        <f t="shared" si="1"/>
        <v>36</v>
      </c>
      <c r="G124" s="14">
        <v>1.0</v>
      </c>
      <c r="H124" s="5" t="s">
        <v>293</v>
      </c>
      <c r="I124" s="5" t="s">
        <v>117</v>
      </c>
      <c r="J124" s="5" t="s">
        <v>150</v>
      </c>
      <c r="K124" s="5">
        <v>2800.0</v>
      </c>
      <c r="L124" s="5">
        <v>1500.0</v>
      </c>
      <c r="M124" s="5">
        <v>119000.0</v>
      </c>
      <c r="N124" s="5">
        <f>M124/'Input Costs'!$B$6</f>
        <v>1299.268479</v>
      </c>
      <c r="O124" s="5">
        <v>28.0</v>
      </c>
      <c r="P124" s="5">
        <v>5.0</v>
      </c>
      <c r="Q124" s="6">
        <f t="shared" si="2"/>
        <v>46062</v>
      </c>
      <c r="R124" s="24" t="s">
        <v>333</v>
      </c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22"/>
      <c r="B125" s="23" t="s">
        <v>334</v>
      </c>
      <c r="C125" s="5" t="s">
        <v>115</v>
      </c>
      <c r="D125" s="5">
        <v>2.0</v>
      </c>
      <c r="E125" s="5">
        <v>20.0</v>
      </c>
      <c r="F125" s="5">
        <f t="shared" si="1"/>
        <v>40</v>
      </c>
      <c r="G125" s="14">
        <v>1.0</v>
      </c>
      <c r="H125" s="5" t="s">
        <v>293</v>
      </c>
      <c r="I125" s="5" t="s">
        <v>117</v>
      </c>
      <c r="J125" s="5" t="s">
        <v>150</v>
      </c>
      <c r="K125" s="5">
        <v>2800.0</v>
      </c>
      <c r="L125" s="5">
        <v>1500.0</v>
      </c>
      <c r="M125" s="5">
        <v>116000.0</v>
      </c>
      <c r="N125" s="5">
        <f>M125/'Input Costs'!$B$6</f>
        <v>1266.513812</v>
      </c>
      <c r="O125" s="5">
        <v>28.0</v>
      </c>
      <c r="P125" s="5">
        <v>5.0</v>
      </c>
      <c r="Q125" s="6">
        <f t="shared" si="2"/>
        <v>46062</v>
      </c>
      <c r="R125" s="24" t="s">
        <v>335</v>
      </c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25"/>
      <c r="B126" s="23" t="s">
        <v>336</v>
      </c>
      <c r="C126" s="5" t="s">
        <v>115</v>
      </c>
      <c r="D126" s="5">
        <v>2.0</v>
      </c>
      <c r="E126" s="5">
        <v>22.0</v>
      </c>
      <c r="F126" s="5">
        <f t="shared" si="1"/>
        <v>44</v>
      </c>
      <c r="G126" s="14">
        <v>1.0</v>
      </c>
      <c r="H126" s="5" t="s">
        <v>293</v>
      </c>
      <c r="I126" s="5" t="s">
        <v>117</v>
      </c>
      <c r="J126" s="5" t="s">
        <v>150</v>
      </c>
      <c r="K126" s="5">
        <v>2800.0</v>
      </c>
      <c r="L126" s="5">
        <v>1500.0</v>
      </c>
      <c r="M126" s="5">
        <v>114000.0</v>
      </c>
      <c r="N126" s="5">
        <f>M126/'Input Costs'!$B$6</f>
        <v>1244.677367</v>
      </c>
      <c r="O126" s="5">
        <v>28.0</v>
      </c>
      <c r="P126" s="5">
        <v>5.0</v>
      </c>
      <c r="Q126" s="6">
        <f t="shared" si="2"/>
        <v>46062</v>
      </c>
      <c r="R126" s="24" t="s">
        <v>335</v>
      </c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16" t="s">
        <v>337</v>
      </c>
      <c r="B127" s="23" t="s">
        <v>338</v>
      </c>
      <c r="C127" s="5" t="s">
        <v>115</v>
      </c>
      <c r="D127" s="5">
        <v>2.0</v>
      </c>
      <c r="E127" s="5">
        <v>13.0</v>
      </c>
      <c r="F127" s="5">
        <f t="shared" si="1"/>
        <v>26</v>
      </c>
      <c r="G127" s="14">
        <v>1.0</v>
      </c>
      <c r="H127" s="5" t="s">
        <v>293</v>
      </c>
      <c r="I127" s="5" t="s">
        <v>117</v>
      </c>
      <c r="J127" s="5" t="s">
        <v>339</v>
      </c>
      <c r="K127" s="5">
        <v>2800.0</v>
      </c>
      <c r="L127" s="5">
        <v>1500.0</v>
      </c>
      <c r="M127" s="5">
        <v>145000.0</v>
      </c>
      <c r="N127" s="5">
        <f>M127/'Input Costs'!$B$6</f>
        <v>1583.142264</v>
      </c>
      <c r="O127" s="5">
        <v>30.0</v>
      </c>
      <c r="P127" s="5">
        <v>5.0</v>
      </c>
      <c r="Q127" s="6">
        <f t="shared" si="2"/>
        <v>46062</v>
      </c>
      <c r="R127" s="24" t="s">
        <v>340</v>
      </c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22"/>
      <c r="B128" s="23" t="s">
        <v>341</v>
      </c>
      <c r="C128" s="5" t="s">
        <v>115</v>
      </c>
      <c r="D128" s="5">
        <v>2.0</v>
      </c>
      <c r="E128" s="5">
        <v>14.0</v>
      </c>
      <c r="F128" s="5">
        <f t="shared" si="1"/>
        <v>28</v>
      </c>
      <c r="G128" s="14">
        <v>1.0</v>
      </c>
      <c r="H128" s="5" t="s">
        <v>293</v>
      </c>
      <c r="I128" s="5" t="s">
        <v>117</v>
      </c>
      <c r="J128" s="5" t="s">
        <v>339</v>
      </c>
      <c r="K128" s="5">
        <v>2800.0</v>
      </c>
      <c r="L128" s="5">
        <v>1500.0</v>
      </c>
      <c r="M128" s="5">
        <v>142000.0</v>
      </c>
      <c r="N128" s="5">
        <f>M128/'Input Costs'!$B$6</f>
        <v>1550.387597</v>
      </c>
      <c r="O128" s="5">
        <v>30.0</v>
      </c>
      <c r="P128" s="5">
        <v>5.0</v>
      </c>
      <c r="Q128" s="6">
        <f t="shared" si="2"/>
        <v>46062</v>
      </c>
      <c r="R128" s="24" t="s">
        <v>340</v>
      </c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22"/>
      <c r="B129" s="23" t="s">
        <v>342</v>
      </c>
      <c r="C129" s="5" t="s">
        <v>115</v>
      </c>
      <c r="D129" s="5">
        <v>2.0</v>
      </c>
      <c r="E129" s="5">
        <v>15.0</v>
      </c>
      <c r="F129" s="5">
        <f t="shared" si="1"/>
        <v>30</v>
      </c>
      <c r="G129" s="14">
        <v>1.0</v>
      </c>
      <c r="H129" s="5" t="s">
        <v>293</v>
      </c>
      <c r="I129" s="5" t="s">
        <v>117</v>
      </c>
      <c r="J129" s="5" t="s">
        <v>339</v>
      </c>
      <c r="K129" s="5">
        <v>2800.0</v>
      </c>
      <c r="L129" s="5">
        <v>1500.0</v>
      </c>
      <c r="M129" s="5">
        <v>138000.0</v>
      </c>
      <c r="N129" s="5">
        <f>M129/'Input Costs'!$B$6</f>
        <v>1506.714707</v>
      </c>
      <c r="O129" s="5">
        <v>30.0</v>
      </c>
      <c r="P129" s="5">
        <v>5.0</v>
      </c>
      <c r="Q129" s="6">
        <f t="shared" si="2"/>
        <v>46062</v>
      </c>
      <c r="R129" s="24" t="s">
        <v>343</v>
      </c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22"/>
      <c r="B130" s="23" t="s">
        <v>344</v>
      </c>
      <c r="C130" s="5" t="s">
        <v>115</v>
      </c>
      <c r="D130" s="5">
        <v>2.0</v>
      </c>
      <c r="E130" s="5">
        <v>16.0</v>
      </c>
      <c r="F130" s="5">
        <f t="shared" si="1"/>
        <v>32</v>
      </c>
      <c r="G130" s="14">
        <v>1.0</v>
      </c>
      <c r="H130" s="5" t="s">
        <v>293</v>
      </c>
      <c r="I130" s="5" t="s">
        <v>117</v>
      </c>
      <c r="J130" s="5" t="s">
        <v>339</v>
      </c>
      <c r="K130" s="5">
        <v>2800.0</v>
      </c>
      <c r="L130" s="5">
        <v>1500.0</v>
      </c>
      <c r="M130" s="5">
        <v>135000.0</v>
      </c>
      <c r="N130" s="5">
        <f>M130/'Input Costs'!$B$6</f>
        <v>1473.960039</v>
      </c>
      <c r="O130" s="5">
        <v>30.0</v>
      </c>
      <c r="P130" s="5">
        <v>5.0</v>
      </c>
      <c r="Q130" s="6">
        <f t="shared" si="2"/>
        <v>46062</v>
      </c>
      <c r="R130" s="24" t="s">
        <v>343</v>
      </c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22"/>
      <c r="B131" s="23" t="s">
        <v>345</v>
      </c>
      <c r="C131" s="5" t="s">
        <v>115</v>
      </c>
      <c r="D131" s="5">
        <v>2.0</v>
      </c>
      <c r="E131" s="5">
        <v>17.0</v>
      </c>
      <c r="F131" s="5">
        <f t="shared" si="1"/>
        <v>34</v>
      </c>
      <c r="G131" s="14">
        <v>1.0</v>
      </c>
      <c r="H131" s="5" t="s">
        <v>293</v>
      </c>
      <c r="I131" s="5" t="s">
        <v>117</v>
      </c>
      <c r="J131" s="5" t="s">
        <v>339</v>
      </c>
      <c r="K131" s="5">
        <v>2800.0</v>
      </c>
      <c r="L131" s="5">
        <v>1500.0</v>
      </c>
      <c r="M131" s="5">
        <v>133000.0</v>
      </c>
      <c r="N131" s="5">
        <f>M131/'Input Costs'!$B$6</f>
        <v>1452.123594</v>
      </c>
      <c r="O131" s="5">
        <v>30.0</v>
      </c>
      <c r="P131" s="5">
        <v>5.0</v>
      </c>
      <c r="Q131" s="6">
        <f t="shared" si="2"/>
        <v>46062</v>
      </c>
      <c r="R131" s="24" t="s">
        <v>331</v>
      </c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25"/>
      <c r="B132" s="23" t="s">
        <v>346</v>
      </c>
      <c r="C132" s="5" t="s">
        <v>115</v>
      </c>
      <c r="D132" s="5">
        <v>2.0</v>
      </c>
      <c r="E132" s="5">
        <v>18.0</v>
      </c>
      <c r="F132" s="5">
        <f t="shared" si="1"/>
        <v>36</v>
      </c>
      <c r="G132" s="14">
        <v>1.0</v>
      </c>
      <c r="H132" s="5" t="s">
        <v>293</v>
      </c>
      <c r="I132" s="5" t="s">
        <v>117</v>
      </c>
      <c r="J132" s="5" t="s">
        <v>339</v>
      </c>
      <c r="K132" s="5">
        <v>2800.0</v>
      </c>
      <c r="L132" s="5">
        <v>1500.0</v>
      </c>
      <c r="M132" s="5">
        <v>130000.0</v>
      </c>
      <c r="N132" s="5">
        <f>M132/'Input Costs'!$B$6</f>
        <v>1419.368927</v>
      </c>
      <c r="O132" s="5">
        <v>30.0</v>
      </c>
      <c r="P132" s="5">
        <v>5.0</v>
      </c>
      <c r="Q132" s="6">
        <f t="shared" si="2"/>
        <v>46062</v>
      </c>
      <c r="R132" s="24" t="s">
        <v>347</v>
      </c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16" t="s">
        <v>348</v>
      </c>
      <c r="B133" s="23" t="s">
        <v>349</v>
      </c>
      <c r="C133" s="5" t="s">
        <v>115</v>
      </c>
      <c r="D133" s="5">
        <v>2.0</v>
      </c>
      <c r="E133" s="5">
        <v>15.0</v>
      </c>
      <c r="F133" s="5">
        <f t="shared" si="1"/>
        <v>30</v>
      </c>
      <c r="G133" s="14">
        <v>1.0</v>
      </c>
      <c r="H133" s="5" t="s">
        <v>293</v>
      </c>
      <c r="I133" s="5" t="s">
        <v>117</v>
      </c>
      <c r="J133" s="5" t="s">
        <v>165</v>
      </c>
      <c r="K133" s="5">
        <v>2800.0</v>
      </c>
      <c r="L133" s="5">
        <v>1500.0</v>
      </c>
      <c r="M133" s="5">
        <v>104000.0</v>
      </c>
      <c r="N133" s="5">
        <f>M133/'Input Costs'!$B$6</f>
        <v>1135.495141</v>
      </c>
      <c r="O133" s="5">
        <v>21.0</v>
      </c>
      <c r="P133" s="5">
        <v>10.0</v>
      </c>
      <c r="Q133" s="6">
        <f t="shared" si="2"/>
        <v>46062</v>
      </c>
      <c r="R133" s="24" t="s">
        <v>350</v>
      </c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22"/>
      <c r="B134" s="23" t="s">
        <v>351</v>
      </c>
      <c r="C134" s="5" t="s">
        <v>115</v>
      </c>
      <c r="D134" s="5">
        <v>2.0</v>
      </c>
      <c r="E134" s="5">
        <v>17.0</v>
      </c>
      <c r="F134" s="5">
        <f t="shared" si="1"/>
        <v>34</v>
      </c>
      <c r="G134" s="14">
        <v>1.0</v>
      </c>
      <c r="H134" s="5" t="s">
        <v>293</v>
      </c>
      <c r="I134" s="5" t="s">
        <v>117</v>
      </c>
      <c r="J134" s="5" t="s">
        <v>165</v>
      </c>
      <c r="K134" s="5">
        <v>2800.0</v>
      </c>
      <c r="L134" s="5">
        <v>1500.0</v>
      </c>
      <c r="M134" s="5">
        <v>101000.0</v>
      </c>
      <c r="N134" s="5">
        <f>M134/'Input Costs'!$B$6</f>
        <v>1102.740474</v>
      </c>
      <c r="O134" s="5">
        <v>21.0</v>
      </c>
      <c r="P134" s="5">
        <v>10.0</v>
      </c>
      <c r="Q134" s="6">
        <f t="shared" si="2"/>
        <v>46062</v>
      </c>
      <c r="R134" s="24" t="s">
        <v>350</v>
      </c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22"/>
      <c r="B135" s="23" t="s">
        <v>352</v>
      </c>
      <c r="C135" s="5" t="s">
        <v>115</v>
      </c>
      <c r="D135" s="5">
        <v>2.0</v>
      </c>
      <c r="E135" s="5">
        <v>18.0</v>
      </c>
      <c r="F135" s="5">
        <f t="shared" si="1"/>
        <v>36</v>
      </c>
      <c r="G135" s="14">
        <v>1.0</v>
      </c>
      <c r="H135" s="5" t="s">
        <v>293</v>
      </c>
      <c r="I135" s="5" t="s">
        <v>117</v>
      </c>
      <c r="J135" s="5" t="s">
        <v>165</v>
      </c>
      <c r="K135" s="5">
        <v>2800.0</v>
      </c>
      <c r="L135" s="5">
        <v>1500.0</v>
      </c>
      <c r="M135" s="5">
        <v>99000.0</v>
      </c>
      <c r="N135" s="5">
        <f>M135/'Input Costs'!$B$6</f>
        <v>1080.904029</v>
      </c>
      <c r="O135" s="5">
        <v>21.0</v>
      </c>
      <c r="P135" s="5">
        <v>10.0</v>
      </c>
      <c r="Q135" s="6">
        <f t="shared" si="2"/>
        <v>46062</v>
      </c>
      <c r="R135" s="24" t="s">
        <v>353</v>
      </c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22"/>
      <c r="B136" s="23" t="s">
        <v>354</v>
      </c>
      <c r="C136" s="5" t="s">
        <v>115</v>
      </c>
      <c r="D136" s="5">
        <v>2.0</v>
      </c>
      <c r="E136" s="5">
        <v>20.0</v>
      </c>
      <c r="F136" s="5">
        <f t="shared" si="1"/>
        <v>40</v>
      </c>
      <c r="G136" s="14">
        <v>1.0</v>
      </c>
      <c r="H136" s="5" t="s">
        <v>293</v>
      </c>
      <c r="I136" s="5" t="s">
        <v>117</v>
      </c>
      <c r="J136" s="5" t="s">
        <v>165</v>
      </c>
      <c r="K136" s="5">
        <v>2800.0</v>
      </c>
      <c r="L136" s="5">
        <v>1500.0</v>
      </c>
      <c r="M136" s="5">
        <v>96000.0</v>
      </c>
      <c r="N136" s="5">
        <f>M136/'Input Costs'!$B$6</f>
        <v>1048.149361</v>
      </c>
      <c r="O136" s="5">
        <v>21.0</v>
      </c>
      <c r="P136" s="5">
        <v>10.0</v>
      </c>
      <c r="Q136" s="6">
        <f t="shared" si="2"/>
        <v>46062</v>
      </c>
      <c r="R136" s="24" t="s">
        <v>355</v>
      </c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22"/>
      <c r="B137" s="23" t="s">
        <v>356</v>
      </c>
      <c r="C137" s="5" t="s">
        <v>115</v>
      </c>
      <c r="D137" s="5">
        <v>2.0</v>
      </c>
      <c r="E137" s="5">
        <v>22.0</v>
      </c>
      <c r="F137" s="5">
        <f t="shared" si="1"/>
        <v>44</v>
      </c>
      <c r="G137" s="14">
        <v>1.0</v>
      </c>
      <c r="H137" s="5" t="s">
        <v>293</v>
      </c>
      <c r="I137" s="5" t="s">
        <v>117</v>
      </c>
      <c r="J137" s="5" t="s">
        <v>165</v>
      </c>
      <c r="K137" s="5">
        <v>2800.0</v>
      </c>
      <c r="L137" s="5">
        <v>1500.0</v>
      </c>
      <c r="M137" s="5">
        <v>94000.0</v>
      </c>
      <c r="N137" s="5">
        <f>M137/'Input Costs'!$B$6</f>
        <v>1026.312916</v>
      </c>
      <c r="O137" s="5">
        <v>21.0</v>
      </c>
      <c r="P137" s="5">
        <v>10.0</v>
      </c>
      <c r="Q137" s="6">
        <f t="shared" si="2"/>
        <v>46062</v>
      </c>
      <c r="R137" s="24" t="s">
        <v>355</v>
      </c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25"/>
      <c r="B138" s="23" t="s">
        <v>357</v>
      </c>
      <c r="C138" s="5" t="s">
        <v>115</v>
      </c>
      <c r="D138" s="5">
        <v>2.0</v>
      </c>
      <c r="E138" s="5">
        <v>25.0</v>
      </c>
      <c r="F138" s="5">
        <f t="shared" si="1"/>
        <v>50</v>
      </c>
      <c r="G138" s="14">
        <v>1.0</v>
      </c>
      <c r="H138" s="5" t="s">
        <v>293</v>
      </c>
      <c r="I138" s="5" t="s">
        <v>117</v>
      </c>
      <c r="J138" s="5" t="s">
        <v>165</v>
      </c>
      <c r="K138" s="5">
        <v>2800.0</v>
      </c>
      <c r="L138" s="5">
        <v>1500.0</v>
      </c>
      <c r="M138" s="5">
        <v>91000.0</v>
      </c>
      <c r="N138" s="5">
        <f>M138/'Input Costs'!$B$6</f>
        <v>993.5582487</v>
      </c>
      <c r="O138" s="5">
        <v>21.0</v>
      </c>
      <c r="P138" s="5">
        <v>10.0</v>
      </c>
      <c r="Q138" s="6">
        <f t="shared" si="2"/>
        <v>46062</v>
      </c>
      <c r="R138" s="24" t="s">
        <v>358</v>
      </c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16" t="s">
        <v>359</v>
      </c>
      <c r="B139" s="23" t="s">
        <v>360</v>
      </c>
      <c r="C139" s="5" t="s">
        <v>115</v>
      </c>
      <c r="D139" s="5">
        <v>2.0</v>
      </c>
      <c r="E139" s="5">
        <v>15.0</v>
      </c>
      <c r="F139" s="5">
        <f t="shared" si="1"/>
        <v>30</v>
      </c>
      <c r="G139" s="14">
        <v>0.8</v>
      </c>
      <c r="H139" s="5" t="s">
        <v>293</v>
      </c>
      <c r="I139" s="5" t="s">
        <v>117</v>
      </c>
      <c r="J139" s="5" t="s">
        <v>118</v>
      </c>
      <c r="K139" s="5">
        <v>2800.0</v>
      </c>
      <c r="L139" s="5">
        <v>1500.0</v>
      </c>
      <c r="M139" s="5">
        <v>101000.0</v>
      </c>
      <c r="N139" s="5">
        <f>M139/'Input Costs'!$B$6</f>
        <v>1102.740474</v>
      </c>
      <c r="O139" s="5">
        <v>21.0</v>
      </c>
      <c r="P139" s="5">
        <v>5.0</v>
      </c>
      <c r="Q139" s="6">
        <f t="shared" si="2"/>
        <v>46062</v>
      </c>
      <c r="R139" s="24" t="s">
        <v>361</v>
      </c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22"/>
      <c r="B140" s="23" t="s">
        <v>362</v>
      </c>
      <c r="C140" s="5" t="s">
        <v>115</v>
      </c>
      <c r="D140" s="5">
        <v>2.0</v>
      </c>
      <c r="E140" s="5">
        <v>17.0</v>
      </c>
      <c r="F140" s="5">
        <f t="shared" si="1"/>
        <v>34</v>
      </c>
      <c r="G140" s="14">
        <v>0.8</v>
      </c>
      <c r="H140" s="5" t="s">
        <v>293</v>
      </c>
      <c r="I140" s="5" t="s">
        <v>117</v>
      </c>
      <c r="J140" s="5" t="s">
        <v>118</v>
      </c>
      <c r="K140" s="5">
        <v>2800.0</v>
      </c>
      <c r="L140" s="5">
        <v>1500.0</v>
      </c>
      <c r="M140" s="5">
        <v>99000.0</v>
      </c>
      <c r="N140" s="5">
        <f>M140/'Input Costs'!$B$6</f>
        <v>1080.904029</v>
      </c>
      <c r="O140" s="5">
        <v>21.0</v>
      </c>
      <c r="P140" s="5">
        <v>5.0</v>
      </c>
      <c r="Q140" s="6">
        <f t="shared" si="2"/>
        <v>46062</v>
      </c>
      <c r="R140" s="24" t="s">
        <v>361</v>
      </c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22"/>
      <c r="B141" s="23" t="s">
        <v>363</v>
      </c>
      <c r="C141" s="5" t="s">
        <v>115</v>
      </c>
      <c r="D141" s="5">
        <v>2.0</v>
      </c>
      <c r="E141" s="5">
        <v>18.0</v>
      </c>
      <c r="F141" s="5">
        <f t="shared" si="1"/>
        <v>36</v>
      </c>
      <c r="G141" s="14">
        <v>0.8</v>
      </c>
      <c r="H141" s="5" t="s">
        <v>293</v>
      </c>
      <c r="I141" s="5" t="s">
        <v>117</v>
      </c>
      <c r="J141" s="5" t="s">
        <v>118</v>
      </c>
      <c r="K141" s="5">
        <v>2800.0</v>
      </c>
      <c r="L141" s="5">
        <v>1500.0</v>
      </c>
      <c r="M141" s="5">
        <v>97000.0</v>
      </c>
      <c r="N141" s="5">
        <f>M141/'Input Costs'!$B$6</f>
        <v>1059.067584</v>
      </c>
      <c r="O141" s="5">
        <v>21.0</v>
      </c>
      <c r="P141" s="5">
        <v>5.0</v>
      </c>
      <c r="Q141" s="6">
        <f t="shared" si="2"/>
        <v>46062</v>
      </c>
      <c r="R141" s="24" t="s">
        <v>361</v>
      </c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22"/>
      <c r="B142" s="23" t="s">
        <v>364</v>
      </c>
      <c r="C142" s="5" t="s">
        <v>115</v>
      </c>
      <c r="D142" s="5">
        <v>2.0</v>
      </c>
      <c r="E142" s="5">
        <v>20.0</v>
      </c>
      <c r="F142" s="5">
        <f t="shared" si="1"/>
        <v>40</v>
      </c>
      <c r="G142" s="14">
        <v>0.8</v>
      </c>
      <c r="H142" s="5" t="s">
        <v>293</v>
      </c>
      <c r="I142" s="5" t="s">
        <v>117</v>
      </c>
      <c r="J142" s="5" t="s">
        <v>118</v>
      </c>
      <c r="K142" s="5">
        <v>2800.0</v>
      </c>
      <c r="L142" s="5">
        <v>1500.0</v>
      </c>
      <c r="M142" s="5">
        <v>95000.0</v>
      </c>
      <c r="N142" s="5">
        <f>M142/'Input Costs'!$B$6</f>
        <v>1037.231139</v>
      </c>
      <c r="O142" s="5">
        <v>21.0</v>
      </c>
      <c r="P142" s="5">
        <v>5.0</v>
      </c>
      <c r="Q142" s="6">
        <f t="shared" si="2"/>
        <v>46062</v>
      </c>
      <c r="R142" s="24" t="s">
        <v>361</v>
      </c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22"/>
      <c r="B143" s="23" t="s">
        <v>365</v>
      </c>
      <c r="C143" s="5" t="s">
        <v>115</v>
      </c>
      <c r="D143" s="5">
        <v>2.0</v>
      </c>
      <c r="E143" s="5">
        <v>22.0</v>
      </c>
      <c r="F143" s="5">
        <f t="shared" si="1"/>
        <v>44</v>
      </c>
      <c r="G143" s="14">
        <v>0.8</v>
      </c>
      <c r="H143" s="5" t="s">
        <v>293</v>
      </c>
      <c r="I143" s="5" t="s">
        <v>117</v>
      </c>
      <c r="J143" s="5" t="s">
        <v>118</v>
      </c>
      <c r="K143" s="5">
        <v>2800.0</v>
      </c>
      <c r="L143" s="5">
        <v>1500.0</v>
      </c>
      <c r="M143" s="5">
        <v>93000.0</v>
      </c>
      <c r="N143" s="5">
        <f>M143/'Input Costs'!$B$6</f>
        <v>1015.394694</v>
      </c>
      <c r="O143" s="5">
        <v>21.0</v>
      </c>
      <c r="P143" s="5">
        <v>5.0</v>
      </c>
      <c r="Q143" s="6">
        <f t="shared" si="2"/>
        <v>46062</v>
      </c>
      <c r="R143" s="24" t="s">
        <v>361</v>
      </c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22"/>
      <c r="B144" s="23" t="s">
        <v>366</v>
      </c>
      <c r="C144" s="5" t="s">
        <v>115</v>
      </c>
      <c r="D144" s="5">
        <v>2.0</v>
      </c>
      <c r="E144" s="5">
        <v>15.0</v>
      </c>
      <c r="F144" s="5">
        <f t="shared" si="1"/>
        <v>30</v>
      </c>
      <c r="G144" s="14">
        <v>0.7</v>
      </c>
      <c r="H144" s="5" t="s">
        <v>293</v>
      </c>
      <c r="I144" s="5" t="s">
        <v>117</v>
      </c>
      <c r="J144" s="5" t="s">
        <v>118</v>
      </c>
      <c r="K144" s="5">
        <v>2800.0</v>
      </c>
      <c r="L144" s="5">
        <v>1500.0</v>
      </c>
      <c r="M144" s="5">
        <v>96000.0</v>
      </c>
      <c r="N144" s="5">
        <f>M144/'Input Costs'!$B$6</f>
        <v>1048.149361</v>
      </c>
      <c r="O144" s="5">
        <v>21.0</v>
      </c>
      <c r="P144" s="5">
        <v>5.0</v>
      </c>
      <c r="Q144" s="6">
        <f t="shared" si="2"/>
        <v>46062</v>
      </c>
      <c r="R144" s="24" t="s">
        <v>367</v>
      </c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22"/>
      <c r="B145" s="23" t="s">
        <v>368</v>
      </c>
      <c r="C145" s="5" t="s">
        <v>115</v>
      </c>
      <c r="D145" s="5">
        <v>2.0</v>
      </c>
      <c r="E145" s="5">
        <v>17.0</v>
      </c>
      <c r="F145" s="5">
        <f t="shared" si="1"/>
        <v>34</v>
      </c>
      <c r="G145" s="14">
        <v>0.7</v>
      </c>
      <c r="H145" s="5" t="s">
        <v>293</v>
      </c>
      <c r="I145" s="5" t="s">
        <v>117</v>
      </c>
      <c r="J145" s="5" t="s">
        <v>118</v>
      </c>
      <c r="K145" s="5">
        <v>2800.0</v>
      </c>
      <c r="L145" s="5">
        <v>1500.0</v>
      </c>
      <c r="M145" s="5">
        <v>94000.0</v>
      </c>
      <c r="N145" s="5">
        <f>M145/'Input Costs'!$B$6</f>
        <v>1026.312916</v>
      </c>
      <c r="O145" s="5">
        <v>21.0</v>
      </c>
      <c r="P145" s="5">
        <v>5.0</v>
      </c>
      <c r="Q145" s="6">
        <f t="shared" si="2"/>
        <v>46062</v>
      </c>
      <c r="R145" s="24" t="s">
        <v>367</v>
      </c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22"/>
      <c r="B146" s="23" t="s">
        <v>369</v>
      </c>
      <c r="C146" s="5" t="s">
        <v>115</v>
      </c>
      <c r="D146" s="5">
        <v>2.0</v>
      </c>
      <c r="E146" s="5">
        <v>18.0</v>
      </c>
      <c r="F146" s="5">
        <f t="shared" si="1"/>
        <v>36</v>
      </c>
      <c r="G146" s="14">
        <v>0.7</v>
      </c>
      <c r="H146" s="5" t="s">
        <v>293</v>
      </c>
      <c r="I146" s="5" t="s">
        <v>117</v>
      </c>
      <c r="J146" s="5" t="s">
        <v>118</v>
      </c>
      <c r="K146" s="5">
        <v>2800.0</v>
      </c>
      <c r="L146" s="5">
        <v>1500.0</v>
      </c>
      <c r="M146" s="5">
        <v>92000.0</v>
      </c>
      <c r="N146" s="5">
        <f>M146/'Input Costs'!$B$6</f>
        <v>1004.476471</v>
      </c>
      <c r="O146" s="5">
        <v>21.0</v>
      </c>
      <c r="P146" s="5">
        <v>5.0</v>
      </c>
      <c r="Q146" s="6">
        <f t="shared" si="2"/>
        <v>46062</v>
      </c>
      <c r="R146" s="24" t="s">
        <v>367</v>
      </c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22"/>
      <c r="B147" s="23" t="s">
        <v>370</v>
      </c>
      <c r="C147" s="5" t="s">
        <v>115</v>
      </c>
      <c r="D147" s="5">
        <v>2.0</v>
      </c>
      <c r="E147" s="5">
        <v>20.0</v>
      </c>
      <c r="F147" s="5">
        <f t="shared" si="1"/>
        <v>40</v>
      </c>
      <c r="G147" s="14">
        <v>0.7</v>
      </c>
      <c r="H147" s="5" t="s">
        <v>293</v>
      </c>
      <c r="I147" s="5" t="s">
        <v>117</v>
      </c>
      <c r="J147" s="5" t="s">
        <v>118</v>
      </c>
      <c r="K147" s="5">
        <v>2800.0</v>
      </c>
      <c r="L147" s="5">
        <v>1500.0</v>
      </c>
      <c r="M147" s="5">
        <v>90000.0</v>
      </c>
      <c r="N147" s="5">
        <f>M147/'Input Costs'!$B$6</f>
        <v>982.6400262</v>
      </c>
      <c r="O147" s="5">
        <v>21.0</v>
      </c>
      <c r="P147" s="5">
        <v>5.0</v>
      </c>
      <c r="Q147" s="6">
        <f t="shared" si="2"/>
        <v>46062</v>
      </c>
      <c r="R147" s="24" t="s">
        <v>367</v>
      </c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22"/>
      <c r="B148" s="23" t="s">
        <v>371</v>
      </c>
      <c r="C148" s="5" t="s">
        <v>115</v>
      </c>
      <c r="D148" s="5">
        <v>2.0</v>
      </c>
      <c r="E148" s="5">
        <v>22.0</v>
      </c>
      <c r="F148" s="5">
        <f t="shared" si="1"/>
        <v>44</v>
      </c>
      <c r="G148" s="14">
        <v>0.7</v>
      </c>
      <c r="H148" s="5" t="s">
        <v>293</v>
      </c>
      <c r="I148" s="5" t="s">
        <v>117</v>
      </c>
      <c r="J148" s="5" t="s">
        <v>118</v>
      </c>
      <c r="K148" s="5">
        <v>2800.0</v>
      </c>
      <c r="L148" s="5">
        <v>1500.0</v>
      </c>
      <c r="M148" s="5">
        <v>88000.0</v>
      </c>
      <c r="N148" s="5">
        <f>M148/'Input Costs'!$B$6</f>
        <v>960.8035812</v>
      </c>
      <c r="O148" s="5">
        <v>21.0</v>
      </c>
      <c r="P148" s="5">
        <v>5.0</v>
      </c>
      <c r="Q148" s="6">
        <f t="shared" si="2"/>
        <v>46062</v>
      </c>
      <c r="R148" s="24" t="s">
        <v>367</v>
      </c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22"/>
      <c r="B149" s="23" t="s">
        <v>372</v>
      </c>
      <c r="C149" s="5" t="s">
        <v>115</v>
      </c>
      <c r="D149" s="5">
        <v>2.0</v>
      </c>
      <c r="E149" s="5">
        <v>15.0</v>
      </c>
      <c r="F149" s="5">
        <f t="shared" si="1"/>
        <v>30</v>
      </c>
      <c r="G149" s="14">
        <v>0.5</v>
      </c>
      <c r="H149" s="5" t="s">
        <v>293</v>
      </c>
      <c r="I149" s="5" t="s">
        <v>117</v>
      </c>
      <c r="J149" s="5" t="s">
        <v>118</v>
      </c>
      <c r="K149" s="5">
        <v>2800.0</v>
      </c>
      <c r="L149" s="5">
        <v>1500.0</v>
      </c>
      <c r="M149" s="5">
        <v>88000.0</v>
      </c>
      <c r="N149" s="5">
        <f>M149/'Input Costs'!$B$6</f>
        <v>960.8035812</v>
      </c>
      <c r="O149" s="5">
        <v>21.0</v>
      </c>
      <c r="P149" s="5">
        <v>5.0</v>
      </c>
      <c r="Q149" s="6">
        <f t="shared" si="2"/>
        <v>46062</v>
      </c>
      <c r="R149" s="24" t="s">
        <v>373</v>
      </c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22"/>
      <c r="B150" s="23" t="s">
        <v>374</v>
      </c>
      <c r="C150" s="5" t="s">
        <v>115</v>
      </c>
      <c r="D150" s="5">
        <v>2.0</v>
      </c>
      <c r="E150" s="5">
        <v>17.0</v>
      </c>
      <c r="F150" s="5">
        <f t="shared" si="1"/>
        <v>34</v>
      </c>
      <c r="G150" s="14">
        <v>0.5</v>
      </c>
      <c r="H150" s="5" t="s">
        <v>293</v>
      </c>
      <c r="I150" s="5" t="s">
        <v>117</v>
      </c>
      <c r="J150" s="5" t="s">
        <v>118</v>
      </c>
      <c r="K150" s="5">
        <v>2800.0</v>
      </c>
      <c r="L150" s="5">
        <v>1500.0</v>
      </c>
      <c r="M150" s="5">
        <v>86000.0</v>
      </c>
      <c r="N150" s="5">
        <f>M150/'Input Costs'!$B$6</f>
        <v>938.9671362</v>
      </c>
      <c r="O150" s="5">
        <v>21.0</v>
      </c>
      <c r="P150" s="5">
        <v>5.0</v>
      </c>
      <c r="Q150" s="6">
        <f t="shared" si="2"/>
        <v>46062</v>
      </c>
      <c r="R150" s="24" t="s">
        <v>373</v>
      </c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22"/>
      <c r="B151" s="23" t="s">
        <v>375</v>
      </c>
      <c r="C151" s="5" t="s">
        <v>115</v>
      </c>
      <c r="D151" s="5">
        <v>2.0</v>
      </c>
      <c r="E151" s="5">
        <v>18.0</v>
      </c>
      <c r="F151" s="5">
        <f t="shared" si="1"/>
        <v>36</v>
      </c>
      <c r="G151" s="14">
        <v>0.5</v>
      </c>
      <c r="H151" s="5" t="s">
        <v>293</v>
      </c>
      <c r="I151" s="5" t="s">
        <v>117</v>
      </c>
      <c r="J151" s="5" t="s">
        <v>118</v>
      </c>
      <c r="K151" s="5">
        <v>2800.0</v>
      </c>
      <c r="L151" s="5">
        <v>1500.0</v>
      </c>
      <c r="M151" s="5">
        <v>84000.0</v>
      </c>
      <c r="N151" s="5">
        <f>M151/'Input Costs'!$B$6</f>
        <v>917.1306911</v>
      </c>
      <c r="O151" s="5">
        <v>21.0</v>
      </c>
      <c r="P151" s="5">
        <v>5.0</v>
      </c>
      <c r="Q151" s="6">
        <f t="shared" si="2"/>
        <v>46062</v>
      </c>
      <c r="R151" s="24" t="s">
        <v>373</v>
      </c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22"/>
      <c r="B152" s="23" t="s">
        <v>376</v>
      </c>
      <c r="C152" s="5" t="s">
        <v>115</v>
      </c>
      <c r="D152" s="5">
        <v>2.0</v>
      </c>
      <c r="E152" s="5">
        <v>20.0</v>
      </c>
      <c r="F152" s="5">
        <f t="shared" si="1"/>
        <v>40</v>
      </c>
      <c r="G152" s="14">
        <v>0.5</v>
      </c>
      <c r="H152" s="5" t="s">
        <v>293</v>
      </c>
      <c r="I152" s="5" t="s">
        <v>117</v>
      </c>
      <c r="J152" s="5" t="s">
        <v>118</v>
      </c>
      <c r="K152" s="5">
        <v>2800.0</v>
      </c>
      <c r="L152" s="5">
        <v>1500.0</v>
      </c>
      <c r="M152" s="5">
        <v>82000.0</v>
      </c>
      <c r="N152" s="5">
        <f>M152/'Input Costs'!$B$6</f>
        <v>895.2942461</v>
      </c>
      <c r="O152" s="5">
        <v>21.0</v>
      </c>
      <c r="P152" s="5">
        <v>5.0</v>
      </c>
      <c r="Q152" s="6">
        <f t="shared" si="2"/>
        <v>46062</v>
      </c>
      <c r="R152" s="24" t="s">
        <v>373</v>
      </c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22"/>
      <c r="B153" s="23" t="s">
        <v>377</v>
      </c>
      <c r="C153" s="5" t="s">
        <v>115</v>
      </c>
      <c r="D153" s="5">
        <v>2.0</v>
      </c>
      <c r="E153" s="5">
        <v>22.0</v>
      </c>
      <c r="F153" s="5">
        <f t="shared" si="1"/>
        <v>44</v>
      </c>
      <c r="G153" s="14">
        <v>0.5</v>
      </c>
      <c r="H153" s="5" t="s">
        <v>293</v>
      </c>
      <c r="I153" s="5" t="s">
        <v>117</v>
      </c>
      <c r="J153" s="5" t="s">
        <v>118</v>
      </c>
      <c r="K153" s="5">
        <v>2800.0</v>
      </c>
      <c r="L153" s="5">
        <v>1500.0</v>
      </c>
      <c r="M153" s="5">
        <v>80000.0</v>
      </c>
      <c r="N153" s="5">
        <f>M153/'Input Costs'!$B$6</f>
        <v>873.4578011</v>
      </c>
      <c r="O153" s="5">
        <v>21.0</v>
      </c>
      <c r="P153" s="5">
        <v>5.0</v>
      </c>
      <c r="Q153" s="6">
        <f t="shared" si="2"/>
        <v>46062</v>
      </c>
      <c r="R153" s="24" t="s">
        <v>373</v>
      </c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22"/>
      <c r="B154" s="23" t="s">
        <v>378</v>
      </c>
      <c r="C154" s="5" t="s">
        <v>115</v>
      </c>
      <c r="D154" s="5">
        <v>2.0</v>
      </c>
      <c r="E154" s="5">
        <v>17.0</v>
      </c>
      <c r="F154" s="5">
        <f t="shared" si="1"/>
        <v>34</v>
      </c>
      <c r="G154" s="14">
        <v>0.3</v>
      </c>
      <c r="H154" s="5" t="s">
        <v>293</v>
      </c>
      <c r="I154" s="5" t="s">
        <v>117</v>
      </c>
      <c r="J154" s="5" t="s">
        <v>118</v>
      </c>
      <c r="K154" s="5">
        <v>2800.0</v>
      </c>
      <c r="L154" s="5">
        <v>1500.0</v>
      </c>
      <c r="M154" s="5">
        <v>78000.0</v>
      </c>
      <c r="N154" s="5">
        <f>M154/'Input Costs'!$B$6</f>
        <v>851.621356</v>
      </c>
      <c r="O154" s="5">
        <v>21.0</v>
      </c>
      <c r="P154" s="5">
        <v>5.0</v>
      </c>
      <c r="Q154" s="6">
        <f t="shared" si="2"/>
        <v>46062</v>
      </c>
      <c r="R154" s="24" t="s">
        <v>379</v>
      </c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22"/>
      <c r="B155" s="23" t="s">
        <v>380</v>
      </c>
      <c r="C155" s="5" t="s">
        <v>115</v>
      </c>
      <c r="D155" s="5">
        <v>2.0</v>
      </c>
      <c r="E155" s="5">
        <v>18.0</v>
      </c>
      <c r="F155" s="5">
        <f t="shared" si="1"/>
        <v>36</v>
      </c>
      <c r="G155" s="14">
        <v>0.3</v>
      </c>
      <c r="H155" s="5" t="s">
        <v>293</v>
      </c>
      <c r="I155" s="5" t="s">
        <v>117</v>
      </c>
      <c r="J155" s="5" t="s">
        <v>118</v>
      </c>
      <c r="K155" s="5">
        <v>2800.0</v>
      </c>
      <c r="L155" s="5">
        <v>1500.0</v>
      </c>
      <c r="M155" s="5">
        <v>76000.0</v>
      </c>
      <c r="N155" s="5">
        <f>M155/'Input Costs'!$B$6</f>
        <v>829.784911</v>
      </c>
      <c r="O155" s="5">
        <v>21.0</v>
      </c>
      <c r="P155" s="5">
        <v>5.0</v>
      </c>
      <c r="Q155" s="6">
        <f t="shared" si="2"/>
        <v>46062</v>
      </c>
      <c r="R155" s="24" t="s">
        <v>379</v>
      </c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22"/>
      <c r="B156" s="23" t="s">
        <v>381</v>
      </c>
      <c r="C156" s="5" t="s">
        <v>115</v>
      </c>
      <c r="D156" s="5">
        <v>2.0</v>
      </c>
      <c r="E156" s="5">
        <v>20.0</v>
      </c>
      <c r="F156" s="5">
        <f t="shared" si="1"/>
        <v>40</v>
      </c>
      <c r="G156" s="14">
        <v>0.3</v>
      </c>
      <c r="H156" s="5" t="s">
        <v>293</v>
      </c>
      <c r="I156" s="5" t="s">
        <v>117</v>
      </c>
      <c r="J156" s="5" t="s">
        <v>118</v>
      </c>
      <c r="K156" s="5">
        <v>2800.0</v>
      </c>
      <c r="L156" s="5">
        <v>1500.0</v>
      </c>
      <c r="M156" s="5">
        <v>74000.0</v>
      </c>
      <c r="N156" s="5">
        <f>M156/'Input Costs'!$B$6</f>
        <v>807.948466</v>
      </c>
      <c r="O156" s="5">
        <v>21.0</v>
      </c>
      <c r="P156" s="5">
        <v>5.0</v>
      </c>
      <c r="Q156" s="6">
        <f t="shared" si="2"/>
        <v>46062</v>
      </c>
      <c r="R156" s="24" t="s">
        <v>379</v>
      </c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25"/>
      <c r="B157" s="23" t="s">
        <v>382</v>
      </c>
      <c r="C157" s="5" t="s">
        <v>115</v>
      </c>
      <c r="D157" s="5">
        <v>2.0</v>
      </c>
      <c r="E157" s="5">
        <v>22.0</v>
      </c>
      <c r="F157" s="5">
        <f t="shared" si="1"/>
        <v>44</v>
      </c>
      <c r="G157" s="14">
        <v>0.3</v>
      </c>
      <c r="H157" s="5" t="s">
        <v>293</v>
      </c>
      <c r="I157" s="5" t="s">
        <v>117</v>
      </c>
      <c r="J157" s="5" t="s">
        <v>118</v>
      </c>
      <c r="K157" s="5">
        <v>2800.0</v>
      </c>
      <c r="L157" s="5">
        <v>1500.0</v>
      </c>
      <c r="M157" s="5">
        <v>72000.0</v>
      </c>
      <c r="N157" s="5">
        <f>M157/'Input Costs'!$B$6</f>
        <v>786.112021</v>
      </c>
      <c r="O157" s="5">
        <v>21.0</v>
      </c>
      <c r="P157" s="5">
        <v>5.0</v>
      </c>
      <c r="Q157" s="6">
        <f t="shared" si="2"/>
        <v>46062</v>
      </c>
      <c r="R157" s="24" t="s">
        <v>379</v>
      </c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16" t="s">
        <v>383</v>
      </c>
      <c r="B158" s="23" t="s">
        <v>384</v>
      </c>
      <c r="C158" s="5" t="s">
        <v>115</v>
      </c>
      <c r="D158" s="5">
        <v>2.0</v>
      </c>
      <c r="E158" s="5">
        <v>17.0</v>
      </c>
      <c r="F158" s="5">
        <f t="shared" si="1"/>
        <v>34</v>
      </c>
      <c r="G158" s="14">
        <v>0.0</v>
      </c>
      <c r="H158" s="5" t="s">
        <v>293</v>
      </c>
      <c r="I158" s="5" t="s">
        <v>117</v>
      </c>
      <c r="J158" s="5" t="s">
        <v>165</v>
      </c>
      <c r="K158" s="5">
        <v>2800.0</v>
      </c>
      <c r="L158" s="5">
        <v>1500.0</v>
      </c>
      <c r="M158" s="5">
        <v>68000.0</v>
      </c>
      <c r="N158" s="5">
        <f>M158/'Input Costs'!$B$6</f>
        <v>742.4391309</v>
      </c>
      <c r="O158" s="5">
        <v>21.0</v>
      </c>
      <c r="P158" s="5">
        <v>10.0</v>
      </c>
      <c r="Q158" s="6">
        <f t="shared" si="2"/>
        <v>46062</v>
      </c>
      <c r="R158" s="24" t="s">
        <v>385</v>
      </c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22"/>
      <c r="B159" s="23" t="s">
        <v>386</v>
      </c>
      <c r="C159" s="5" t="s">
        <v>115</v>
      </c>
      <c r="D159" s="5">
        <v>2.0</v>
      </c>
      <c r="E159" s="5">
        <v>18.0</v>
      </c>
      <c r="F159" s="5">
        <f t="shared" si="1"/>
        <v>36</v>
      </c>
      <c r="G159" s="14">
        <v>0.0</v>
      </c>
      <c r="H159" s="5" t="s">
        <v>293</v>
      </c>
      <c r="I159" s="5" t="s">
        <v>117</v>
      </c>
      <c r="J159" s="5" t="s">
        <v>165</v>
      </c>
      <c r="K159" s="5">
        <v>2800.0</v>
      </c>
      <c r="L159" s="5">
        <v>1500.0</v>
      </c>
      <c r="M159" s="5">
        <v>66000.0</v>
      </c>
      <c r="N159" s="5">
        <f>M159/'Input Costs'!$B$6</f>
        <v>720.6026859</v>
      </c>
      <c r="O159" s="5">
        <v>21.0</v>
      </c>
      <c r="P159" s="5">
        <v>10.0</v>
      </c>
      <c r="Q159" s="6">
        <f t="shared" si="2"/>
        <v>46062</v>
      </c>
      <c r="R159" s="24" t="s">
        <v>385</v>
      </c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22"/>
      <c r="B160" s="23" t="s">
        <v>387</v>
      </c>
      <c r="C160" s="5" t="s">
        <v>115</v>
      </c>
      <c r="D160" s="5">
        <v>2.0</v>
      </c>
      <c r="E160" s="5">
        <v>20.0</v>
      </c>
      <c r="F160" s="5">
        <f t="shared" si="1"/>
        <v>40</v>
      </c>
      <c r="G160" s="14">
        <v>0.0</v>
      </c>
      <c r="H160" s="5" t="s">
        <v>293</v>
      </c>
      <c r="I160" s="5" t="s">
        <v>117</v>
      </c>
      <c r="J160" s="5" t="s">
        <v>165</v>
      </c>
      <c r="K160" s="5">
        <v>2800.0</v>
      </c>
      <c r="L160" s="5">
        <v>1500.0</v>
      </c>
      <c r="M160" s="5">
        <v>64000.0</v>
      </c>
      <c r="N160" s="5">
        <f>M160/'Input Costs'!$B$6</f>
        <v>698.7662409</v>
      </c>
      <c r="O160" s="5">
        <v>21.0</v>
      </c>
      <c r="P160" s="5">
        <v>10.0</v>
      </c>
      <c r="Q160" s="6">
        <f t="shared" si="2"/>
        <v>46062</v>
      </c>
      <c r="R160" s="24" t="s">
        <v>385</v>
      </c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22"/>
      <c r="B161" s="23" t="s">
        <v>388</v>
      </c>
      <c r="C161" s="5" t="s">
        <v>115</v>
      </c>
      <c r="D161" s="5">
        <v>2.0</v>
      </c>
      <c r="E161" s="5">
        <v>22.0</v>
      </c>
      <c r="F161" s="5">
        <f t="shared" si="1"/>
        <v>44</v>
      </c>
      <c r="G161" s="14">
        <v>0.0</v>
      </c>
      <c r="H161" s="5" t="s">
        <v>293</v>
      </c>
      <c r="I161" s="5" t="s">
        <v>117</v>
      </c>
      <c r="J161" s="5" t="s">
        <v>165</v>
      </c>
      <c r="K161" s="5">
        <v>2800.0</v>
      </c>
      <c r="L161" s="5">
        <v>1500.0</v>
      </c>
      <c r="M161" s="5">
        <v>62000.0</v>
      </c>
      <c r="N161" s="5">
        <f>M161/'Input Costs'!$B$6</f>
        <v>676.9297958</v>
      </c>
      <c r="O161" s="5">
        <v>21.0</v>
      </c>
      <c r="P161" s="5">
        <v>10.0</v>
      </c>
      <c r="Q161" s="6">
        <f t="shared" si="2"/>
        <v>46062</v>
      </c>
      <c r="R161" s="24" t="s">
        <v>385</v>
      </c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22"/>
      <c r="B162" s="23" t="s">
        <v>389</v>
      </c>
      <c r="C162" s="5" t="s">
        <v>115</v>
      </c>
      <c r="D162" s="5">
        <v>2.0</v>
      </c>
      <c r="E162" s="5">
        <v>25.0</v>
      </c>
      <c r="F162" s="5">
        <f t="shared" si="1"/>
        <v>50</v>
      </c>
      <c r="G162" s="14">
        <v>0.0</v>
      </c>
      <c r="H162" s="5" t="s">
        <v>293</v>
      </c>
      <c r="I162" s="5" t="s">
        <v>117</v>
      </c>
      <c r="J162" s="5" t="s">
        <v>165</v>
      </c>
      <c r="K162" s="5">
        <v>2800.0</v>
      </c>
      <c r="L162" s="5">
        <v>1500.0</v>
      </c>
      <c r="M162" s="5">
        <v>60000.0</v>
      </c>
      <c r="N162" s="5">
        <f>M162/'Input Costs'!$B$6</f>
        <v>655.0933508</v>
      </c>
      <c r="O162" s="5">
        <v>21.0</v>
      </c>
      <c r="P162" s="5">
        <v>10.0</v>
      </c>
      <c r="Q162" s="6">
        <f t="shared" si="2"/>
        <v>46062</v>
      </c>
      <c r="R162" s="24" t="s">
        <v>385</v>
      </c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22"/>
      <c r="B163" s="23" t="s">
        <v>390</v>
      </c>
      <c r="C163" s="5" t="s">
        <v>115</v>
      </c>
      <c r="D163" s="5">
        <v>2.0</v>
      </c>
      <c r="E163" s="5">
        <v>17.0</v>
      </c>
      <c r="F163" s="5">
        <f t="shared" si="1"/>
        <v>34</v>
      </c>
      <c r="G163" s="14">
        <v>0.0</v>
      </c>
      <c r="H163" s="5" t="s">
        <v>293</v>
      </c>
      <c r="I163" s="5" t="s">
        <v>222</v>
      </c>
      <c r="J163" s="5" t="s">
        <v>165</v>
      </c>
      <c r="K163" s="5">
        <v>2800.0</v>
      </c>
      <c r="L163" s="5">
        <v>1500.0</v>
      </c>
      <c r="M163" s="5">
        <v>65000.0</v>
      </c>
      <c r="N163" s="5">
        <f>M163/'Input Costs'!$B$6</f>
        <v>709.6844634</v>
      </c>
      <c r="O163" s="5">
        <v>21.0</v>
      </c>
      <c r="P163" s="5">
        <v>10.0</v>
      </c>
      <c r="Q163" s="6">
        <f t="shared" si="2"/>
        <v>46062</v>
      </c>
      <c r="R163" s="24" t="s">
        <v>391</v>
      </c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22"/>
      <c r="B164" s="23" t="s">
        <v>392</v>
      </c>
      <c r="C164" s="5" t="s">
        <v>115</v>
      </c>
      <c r="D164" s="5">
        <v>2.0</v>
      </c>
      <c r="E164" s="5">
        <v>18.0</v>
      </c>
      <c r="F164" s="5">
        <f t="shared" si="1"/>
        <v>36</v>
      </c>
      <c r="G164" s="14">
        <v>0.0</v>
      </c>
      <c r="H164" s="5" t="s">
        <v>293</v>
      </c>
      <c r="I164" s="5" t="s">
        <v>222</v>
      </c>
      <c r="J164" s="5" t="s">
        <v>165</v>
      </c>
      <c r="K164" s="5">
        <v>2800.0</v>
      </c>
      <c r="L164" s="5">
        <v>1500.0</v>
      </c>
      <c r="M164" s="5">
        <v>63000.0</v>
      </c>
      <c r="N164" s="5">
        <f>M164/'Input Costs'!$B$6</f>
        <v>687.8480183</v>
      </c>
      <c r="O164" s="5">
        <v>21.0</v>
      </c>
      <c r="P164" s="5">
        <v>10.0</v>
      </c>
      <c r="Q164" s="6">
        <f t="shared" si="2"/>
        <v>46062</v>
      </c>
      <c r="R164" s="24" t="s">
        <v>391</v>
      </c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25"/>
      <c r="B165" s="23" t="s">
        <v>393</v>
      </c>
      <c r="C165" s="5" t="s">
        <v>115</v>
      </c>
      <c r="D165" s="5">
        <v>2.0</v>
      </c>
      <c r="E165" s="5">
        <v>20.0</v>
      </c>
      <c r="F165" s="5">
        <f t="shared" si="1"/>
        <v>40</v>
      </c>
      <c r="G165" s="14">
        <v>0.0</v>
      </c>
      <c r="H165" s="5" t="s">
        <v>293</v>
      </c>
      <c r="I165" s="5" t="s">
        <v>222</v>
      </c>
      <c r="J165" s="5" t="s">
        <v>165</v>
      </c>
      <c r="K165" s="5">
        <v>2800.0</v>
      </c>
      <c r="L165" s="5">
        <v>1500.0</v>
      </c>
      <c r="M165" s="5">
        <v>61000.0</v>
      </c>
      <c r="N165" s="5">
        <f>M165/'Input Costs'!$B$6</f>
        <v>666.0115733</v>
      </c>
      <c r="O165" s="5">
        <v>21.0</v>
      </c>
      <c r="P165" s="5">
        <v>10.0</v>
      </c>
      <c r="Q165" s="6">
        <f t="shared" si="2"/>
        <v>46062</v>
      </c>
      <c r="R165" s="24" t="s">
        <v>391</v>
      </c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16" t="s">
        <v>394</v>
      </c>
      <c r="B166" s="23" t="s">
        <v>395</v>
      </c>
      <c r="C166" s="5" t="s">
        <v>115</v>
      </c>
      <c r="D166" s="5">
        <v>2.0</v>
      </c>
      <c r="E166" s="5">
        <v>18.0</v>
      </c>
      <c r="F166" s="5">
        <f t="shared" si="1"/>
        <v>36</v>
      </c>
      <c r="G166" s="14">
        <v>1.0</v>
      </c>
      <c r="H166" s="5" t="s">
        <v>396</v>
      </c>
      <c r="I166" s="5" t="s">
        <v>117</v>
      </c>
      <c r="J166" s="5" t="s">
        <v>118</v>
      </c>
      <c r="K166" s="5">
        <v>2800.0</v>
      </c>
      <c r="L166" s="5">
        <v>1500.0</v>
      </c>
      <c r="M166" s="5">
        <v>121000.0</v>
      </c>
      <c r="N166" s="5">
        <f>M166/'Input Costs'!$B$6</f>
        <v>1321.104924</v>
      </c>
      <c r="O166" s="5">
        <v>28.0</v>
      </c>
      <c r="P166" s="5">
        <v>5.0</v>
      </c>
      <c r="Q166" s="6">
        <f t="shared" si="2"/>
        <v>46062</v>
      </c>
      <c r="R166" s="24" t="s">
        <v>397</v>
      </c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22"/>
      <c r="B167" s="23" t="s">
        <v>398</v>
      </c>
      <c r="C167" s="5" t="s">
        <v>115</v>
      </c>
      <c r="D167" s="5">
        <v>2.0</v>
      </c>
      <c r="E167" s="5">
        <v>20.0</v>
      </c>
      <c r="F167" s="5">
        <f t="shared" si="1"/>
        <v>40</v>
      </c>
      <c r="G167" s="14">
        <v>1.0</v>
      </c>
      <c r="H167" s="5" t="s">
        <v>396</v>
      </c>
      <c r="I167" s="5" t="s">
        <v>117</v>
      </c>
      <c r="J167" s="5" t="s">
        <v>118</v>
      </c>
      <c r="K167" s="5">
        <v>2800.0</v>
      </c>
      <c r="L167" s="5">
        <v>1500.0</v>
      </c>
      <c r="M167" s="5">
        <v>118000.0</v>
      </c>
      <c r="N167" s="5">
        <f>M167/'Input Costs'!$B$6</f>
        <v>1288.350257</v>
      </c>
      <c r="O167" s="5">
        <v>28.0</v>
      </c>
      <c r="P167" s="5">
        <v>5.0</v>
      </c>
      <c r="Q167" s="6">
        <f t="shared" si="2"/>
        <v>46062</v>
      </c>
      <c r="R167" s="24" t="s">
        <v>399</v>
      </c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22"/>
      <c r="B168" s="23" t="s">
        <v>400</v>
      </c>
      <c r="C168" s="5" t="s">
        <v>115</v>
      </c>
      <c r="D168" s="5">
        <v>2.0</v>
      </c>
      <c r="E168" s="5">
        <v>22.0</v>
      </c>
      <c r="F168" s="5">
        <f t="shared" si="1"/>
        <v>44</v>
      </c>
      <c r="G168" s="14">
        <v>1.0</v>
      </c>
      <c r="H168" s="5" t="s">
        <v>396</v>
      </c>
      <c r="I168" s="5" t="s">
        <v>117</v>
      </c>
      <c r="J168" s="5" t="s">
        <v>118</v>
      </c>
      <c r="K168" s="5">
        <v>2800.0</v>
      </c>
      <c r="L168" s="5">
        <v>1500.0</v>
      </c>
      <c r="M168" s="5">
        <v>116000.0</v>
      </c>
      <c r="N168" s="5">
        <f>M168/'Input Costs'!$B$6</f>
        <v>1266.513812</v>
      </c>
      <c r="O168" s="5">
        <v>28.0</v>
      </c>
      <c r="P168" s="5">
        <v>5.0</v>
      </c>
      <c r="Q168" s="6">
        <f t="shared" si="2"/>
        <v>46062</v>
      </c>
      <c r="R168" s="24" t="s">
        <v>399</v>
      </c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22"/>
      <c r="B169" s="23" t="s">
        <v>401</v>
      </c>
      <c r="C169" s="5" t="s">
        <v>115</v>
      </c>
      <c r="D169" s="5">
        <v>2.0</v>
      </c>
      <c r="E169" s="5">
        <v>24.0</v>
      </c>
      <c r="F169" s="5">
        <f t="shared" si="1"/>
        <v>48</v>
      </c>
      <c r="G169" s="14">
        <v>1.0</v>
      </c>
      <c r="H169" s="5" t="s">
        <v>396</v>
      </c>
      <c r="I169" s="5" t="s">
        <v>117</v>
      </c>
      <c r="J169" s="5" t="s">
        <v>118</v>
      </c>
      <c r="K169" s="5">
        <v>2800.0</v>
      </c>
      <c r="L169" s="5">
        <v>1500.0</v>
      </c>
      <c r="M169" s="5">
        <v>114000.0</v>
      </c>
      <c r="N169" s="5">
        <f>M169/'Input Costs'!$B$6</f>
        <v>1244.677367</v>
      </c>
      <c r="O169" s="5">
        <v>28.0</v>
      </c>
      <c r="P169" s="5">
        <v>5.0</v>
      </c>
      <c r="Q169" s="6">
        <f t="shared" si="2"/>
        <v>46062</v>
      </c>
      <c r="R169" s="24" t="s">
        <v>402</v>
      </c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22"/>
      <c r="B170" s="23" t="s">
        <v>403</v>
      </c>
      <c r="C170" s="5" t="s">
        <v>115</v>
      </c>
      <c r="D170" s="5">
        <v>2.0</v>
      </c>
      <c r="E170" s="5">
        <v>25.0</v>
      </c>
      <c r="F170" s="5">
        <f t="shared" si="1"/>
        <v>50</v>
      </c>
      <c r="G170" s="14">
        <v>1.0</v>
      </c>
      <c r="H170" s="5" t="s">
        <v>396</v>
      </c>
      <c r="I170" s="5" t="s">
        <v>117</v>
      </c>
      <c r="J170" s="5" t="s">
        <v>118</v>
      </c>
      <c r="K170" s="5">
        <v>2800.0</v>
      </c>
      <c r="L170" s="5">
        <v>1500.0</v>
      </c>
      <c r="M170" s="5">
        <v>112000.0</v>
      </c>
      <c r="N170" s="5">
        <f>M170/'Input Costs'!$B$6</f>
        <v>1222.840921</v>
      </c>
      <c r="O170" s="5">
        <v>28.0</v>
      </c>
      <c r="P170" s="5">
        <v>5.0</v>
      </c>
      <c r="Q170" s="6">
        <f t="shared" si="2"/>
        <v>46062</v>
      </c>
      <c r="R170" s="24" t="s">
        <v>402</v>
      </c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22"/>
      <c r="B171" s="23" t="s">
        <v>404</v>
      </c>
      <c r="C171" s="5" t="s">
        <v>115</v>
      </c>
      <c r="D171" s="5">
        <v>2.0</v>
      </c>
      <c r="E171" s="5">
        <v>28.0</v>
      </c>
      <c r="F171" s="5">
        <f t="shared" si="1"/>
        <v>56</v>
      </c>
      <c r="G171" s="14">
        <v>1.0</v>
      </c>
      <c r="H171" s="5" t="s">
        <v>396</v>
      </c>
      <c r="I171" s="5" t="s">
        <v>117</v>
      </c>
      <c r="J171" s="5" t="s">
        <v>118</v>
      </c>
      <c r="K171" s="5">
        <v>2800.0</v>
      </c>
      <c r="L171" s="5">
        <v>1500.0</v>
      </c>
      <c r="M171" s="5">
        <v>109000.0</v>
      </c>
      <c r="N171" s="5">
        <f>M171/'Input Costs'!$B$6</f>
        <v>1190.086254</v>
      </c>
      <c r="O171" s="5">
        <v>28.0</v>
      </c>
      <c r="P171" s="5">
        <v>5.0</v>
      </c>
      <c r="Q171" s="6">
        <f t="shared" si="2"/>
        <v>46062</v>
      </c>
      <c r="R171" s="24" t="s">
        <v>405</v>
      </c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22"/>
      <c r="B172" s="23" t="s">
        <v>406</v>
      </c>
      <c r="C172" s="5" t="s">
        <v>115</v>
      </c>
      <c r="D172" s="5">
        <v>2.0</v>
      </c>
      <c r="E172" s="5">
        <v>30.0</v>
      </c>
      <c r="F172" s="5">
        <f t="shared" si="1"/>
        <v>60</v>
      </c>
      <c r="G172" s="14">
        <v>1.0</v>
      </c>
      <c r="H172" s="5" t="s">
        <v>396</v>
      </c>
      <c r="I172" s="5" t="s">
        <v>117</v>
      </c>
      <c r="J172" s="5" t="s">
        <v>118</v>
      </c>
      <c r="K172" s="5">
        <v>2800.0</v>
      </c>
      <c r="L172" s="5">
        <v>1500.0</v>
      </c>
      <c r="M172" s="5">
        <v>106000.0</v>
      </c>
      <c r="N172" s="5">
        <f>M172/'Input Costs'!$B$6</f>
        <v>1157.331586</v>
      </c>
      <c r="O172" s="5">
        <v>28.0</v>
      </c>
      <c r="P172" s="5">
        <v>5.0</v>
      </c>
      <c r="Q172" s="6">
        <f t="shared" si="2"/>
        <v>46062</v>
      </c>
      <c r="R172" s="24" t="s">
        <v>405</v>
      </c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22"/>
      <c r="B173" s="23" t="s">
        <v>407</v>
      </c>
      <c r="C173" s="5" t="s">
        <v>115</v>
      </c>
      <c r="D173" s="5">
        <v>2.0</v>
      </c>
      <c r="E173" s="5">
        <v>35.0</v>
      </c>
      <c r="F173" s="5">
        <f t="shared" si="1"/>
        <v>70</v>
      </c>
      <c r="G173" s="14">
        <v>1.0</v>
      </c>
      <c r="H173" s="5" t="s">
        <v>396</v>
      </c>
      <c r="I173" s="5" t="s">
        <v>117</v>
      </c>
      <c r="J173" s="5" t="s">
        <v>118</v>
      </c>
      <c r="K173" s="5">
        <v>2800.0</v>
      </c>
      <c r="L173" s="5">
        <v>1500.0</v>
      </c>
      <c r="M173" s="5">
        <v>101000.0</v>
      </c>
      <c r="N173" s="5">
        <f>M173/'Input Costs'!$B$6</f>
        <v>1102.740474</v>
      </c>
      <c r="O173" s="5">
        <v>28.0</v>
      </c>
      <c r="P173" s="5">
        <v>5.0</v>
      </c>
      <c r="Q173" s="6">
        <f t="shared" si="2"/>
        <v>46062</v>
      </c>
      <c r="R173" s="24" t="s">
        <v>408</v>
      </c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22"/>
      <c r="B174" s="23" t="s">
        <v>409</v>
      </c>
      <c r="C174" s="5" t="s">
        <v>115</v>
      </c>
      <c r="D174" s="5">
        <v>2.0</v>
      </c>
      <c r="E174" s="5">
        <v>40.0</v>
      </c>
      <c r="F174" s="5">
        <f t="shared" si="1"/>
        <v>80</v>
      </c>
      <c r="G174" s="14">
        <v>1.0</v>
      </c>
      <c r="H174" s="5" t="s">
        <v>396</v>
      </c>
      <c r="I174" s="5" t="s">
        <v>117</v>
      </c>
      <c r="J174" s="5" t="s">
        <v>118</v>
      </c>
      <c r="K174" s="5">
        <v>2800.0</v>
      </c>
      <c r="L174" s="5">
        <v>1500.0</v>
      </c>
      <c r="M174" s="5">
        <v>98000.0</v>
      </c>
      <c r="N174" s="5">
        <f>M174/'Input Costs'!$B$6</f>
        <v>1069.985806</v>
      </c>
      <c r="O174" s="5">
        <v>28.0</v>
      </c>
      <c r="P174" s="5">
        <v>5.0</v>
      </c>
      <c r="Q174" s="6">
        <f t="shared" si="2"/>
        <v>46062</v>
      </c>
      <c r="R174" s="24" t="s">
        <v>408</v>
      </c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22"/>
      <c r="B175" s="23" t="s">
        <v>410</v>
      </c>
      <c r="C175" s="5" t="s">
        <v>115</v>
      </c>
      <c r="D175" s="5">
        <v>2.0</v>
      </c>
      <c r="E175" s="5">
        <v>20.0</v>
      </c>
      <c r="F175" s="5">
        <f t="shared" si="1"/>
        <v>40</v>
      </c>
      <c r="G175" s="14">
        <v>1.0</v>
      </c>
      <c r="H175" s="5" t="s">
        <v>396</v>
      </c>
      <c r="I175" s="5" t="s">
        <v>117</v>
      </c>
      <c r="J175" s="5" t="s">
        <v>150</v>
      </c>
      <c r="K175" s="5">
        <v>2800.0</v>
      </c>
      <c r="L175" s="5">
        <v>1500.0</v>
      </c>
      <c r="M175" s="5">
        <v>125000.0</v>
      </c>
      <c r="N175" s="5">
        <f>M175/'Input Costs'!$B$6</f>
        <v>1364.777814</v>
      </c>
      <c r="O175" s="5">
        <v>30.0</v>
      </c>
      <c r="P175" s="5">
        <v>5.0</v>
      </c>
      <c r="Q175" s="6">
        <f t="shared" si="2"/>
        <v>46062</v>
      </c>
      <c r="R175" s="24" t="s">
        <v>411</v>
      </c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25"/>
      <c r="B176" s="23" t="s">
        <v>412</v>
      </c>
      <c r="C176" s="5" t="s">
        <v>115</v>
      </c>
      <c r="D176" s="5">
        <v>2.0</v>
      </c>
      <c r="E176" s="5">
        <v>22.0</v>
      </c>
      <c r="F176" s="5">
        <f t="shared" si="1"/>
        <v>44</v>
      </c>
      <c r="G176" s="14">
        <v>1.0</v>
      </c>
      <c r="H176" s="5" t="s">
        <v>396</v>
      </c>
      <c r="I176" s="5" t="s">
        <v>117</v>
      </c>
      <c r="J176" s="5" t="s">
        <v>150</v>
      </c>
      <c r="K176" s="5">
        <v>2800.0</v>
      </c>
      <c r="L176" s="5">
        <v>1500.0</v>
      </c>
      <c r="M176" s="5">
        <v>123000.0</v>
      </c>
      <c r="N176" s="5">
        <f>M176/'Input Costs'!$B$6</f>
        <v>1342.941369</v>
      </c>
      <c r="O176" s="5">
        <v>30.0</v>
      </c>
      <c r="P176" s="5">
        <v>5.0</v>
      </c>
      <c r="Q176" s="6">
        <f t="shared" si="2"/>
        <v>46062</v>
      </c>
      <c r="R176" s="24" t="s">
        <v>411</v>
      </c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16" t="s">
        <v>413</v>
      </c>
      <c r="B177" s="23" t="s">
        <v>414</v>
      </c>
      <c r="C177" s="5" t="s">
        <v>115</v>
      </c>
      <c r="D177" s="5">
        <v>2.0</v>
      </c>
      <c r="E177" s="5">
        <v>15.0</v>
      </c>
      <c r="F177" s="5">
        <f t="shared" si="1"/>
        <v>30</v>
      </c>
      <c r="G177" s="14">
        <v>1.0</v>
      </c>
      <c r="H177" s="5" t="s">
        <v>293</v>
      </c>
      <c r="I177" s="5" t="s">
        <v>222</v>
      </c>
      <c r="J177" s="5" t="s">
        <v>118</v>
      </c>
      <c r="K177" s="5">
        <v>2800.0</v>
      </c>
      <c r="L177" s="5">
        <v>1500.0</v>
      </c>
      <c r="M177" s="5">
        <v>106000.0</v>
      </c>
      <c r="N177" s="5">
        <f>M177/'Input Costs'!$B$6</f>
        <v>1157.331586</v>
      </c>
      <c r="O177" s="5">
        <v>25.0</v>
      </c>
      <c r="P177" s="5">
        <v>5.0</v>
      </c>
      <c r="Q177" s="6">
        <f t="shared" si="2"/>
        <v>46062</v>
      </c>
      <c r="R177" s="24" t="s">
        <v>415</v>
      </c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22"/>
      <c r="B178" s="23" t="s">
        <v>416</v>
      </c>
      <c r="C178" s="5" t="s">
        <v>115</v>
      </c>
      <c r="D178" s="5">
        <v>2.0</v>
      </c>
      <c r="E178" s="5">
        <v>17.0</v>
      </c>
      <c r="F178" s="5">
        <f t="shared" si="1"/>
        <v>34</v>
      </c>
      <c r="G178" s="14">
        <v>1.0</v>
      </c>
      <c r="H178" s="5" t="s">
        <v>293</v>
      </c>
      <c r="I178" s="5" t="s">
        <v>222</v>
      </c>
      <c r="J178" s="5" t="s">
        <v>118</v>
      </c>
      <c r="K178" s="5">
        <v>2800.0</v>
      </c>
      <c r="L178" s="5">
        <v>1500.0</v>
      </c>
      <c r="M178" s="5">
        <v>103000.0</v>
      </c>
      <c r="N178" s="5">
        <f>M178/'Input Costs'!$B$6</f>
        <v>1124.576919</v>
      </c>
      <c r="O178" s="5">
        <v>25.0</v>
      </c>
      <c r="P178" s="5">
        <v>5.0</v>
      </c>
      <c r="Q178" s="6">
        <f t="shared" si="2"/>
        <v>46062</v>
      </c>
      <c r="R178" s="24" t="s">
        <v>417</v>
      </c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22"/>
      <c r="B179" s="23" t="s">
        <v>418</v>
      </c>
      <c r="C179" s="5" t="s">
        <v>115</v>
      </c>
      <c r="D179" s="5">
        <v>2.0</v>
      </c>
      <c r="E179" s="5">
        <v>18.0</v>
      </c>
      <c r="F179" s="5">
        <f t="shared" si="1"/>
        <v>36</v>
      </c>
      <c r="G179" s="14">
        <v>1.0</v>
      </c>
      <c r="H179" s="5" t="s">
        <v>293</v>
      </c>
      <c r="I179" s="5" t="s">
        <v>222</v>
      </c>
      <c r="J179" s="5" t="s">
        <v>118</v>
      </c>
      <c r="K179" s="5">
        <v>2800.0</v>
      </c>
      <c r="L179" s="5">
        <v>1500.0</v>
      </c>
      <c r="M179" s="5">
        <v>101000.0</v>
      </c>
      <c r="N179" s="5">
        <f>M179/'Input Costs'!$B$6</f>
        <v>1102.740474</v>
      </c>
      <c r="O179" s="5">
        <v>25.0</v>
      </c>
      <c r="P179" s="5">
        <v>5.0</v>
      </c>
      <c r="Q179" s="6">
        <f t="shared" si="2"/>
        <v>46062</v>
      </c>
      <c r="R179" s="24" t="s">
        <v>419</v>
      </c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22"/>
      <c r="B180" s="23" t="s">
        <v>420</v>
      </c>
      <c r="C180" s="5" t="s">
        <v>115</v>
      </c>
      <c r="D180" s="5">
        <v>2.0</v>
      </c>
      <c r="E180" s="5">
        <v>20.0</v>
      </c>
      <c r="F180" s="5">
        <f t="shared" si="1"/>
        <v>40</v>
      </c>
      <c r="G180" s="14">
        <v>1.0</v>
      </c>
      <c r="H180" s="5" t="s">
        <v>293</v>
      </c>
      <c r="I180" s="5" t="s">
        <v>222</v>
      </c>
      <c r="J180" s="5" t="s">
        <v>118</v>
      </c>
      <c r="K180" s="5">
        <v>2800.0</v>
      </c>
      <c r="L180" s="5">
        <v>1500.0</v>
      </c>
      <c r="M180" s="5">
        <v>98000.0</v>
      </c>
      <c r="N180" s="5">
        <f>M180/'Input Costs'!$B$6</f>
        <v>1069.985806</v>
      </c>
      <c r="O180" s="5">
        <v>25.0</v>
      </c>
      <c r="P180" s="5">
        <v>5.0</v>
      </c>
      <c r="Q180" s="6">
        <f t="shared" si="2"/>
        <v>46062</v>
      </c>
      <c r="R180" s="24" t="s">
        <v>421</v>
      </c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22"/>
      <c r="B181" s="23" t="s">
        <v>422</v>
      </c>
      <c r="C181" s="5" t="s">
        <v>115</v>
      </c>
      <c r="D181" s="5">
        <v>2.0</v>
      </c>
      <c r="E181" s="5">
        <v>22.0</v>
      </c>
      <c r="F181" s="5">
        <f t="shared" si="1"/>
        <v>44</v>
      </c>
      <c r="G181" s="14">
        <v>1.0</v>
      </c>
      <c r="H181" s="5" t="s">
        <v>293</v>
      </c>
      <c r="I181" s="5" t="s">
        <v>222</v>
      </c>
      <c r="J181" s="5" t="s">
        <v>118</v>
      </c>
      <c r="K181" s="5">
        <v>2800.0</v>
      </c>
      <c r="L181" s="5">
        <v>1500.0</v>
      </c>
      <c r="M181" s="5">
        <v>96000.0</v>
      </c>
      <c r="N181" s="5">
        <f>M181/'Input Costs'!$B$6</f>
        <v>1048.149361</v>
      </c>
      <c r="O181" s="5">
        <v>25.0</v>
      </c>
      <c r="P181" s="5">
        <v>5.0</v>
      </c>
      <c r="Q181" s="6">
        <f t="shared" si="2"/>
        <v>46062</v>
      </c>
      <c r="R181" s="24" t="s">
        <v>421</v>
      </c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22"/>
      <c r="B182" s="23" t="s">
        <v>423</v>
      </c>
      <c r="C182" s="5" t="s">
        <v>115</v>
      </c>
      <c r="D182" s="5">
        <v>2.0</v>
      </c>
      <c r="E182" s="5">
        <v>17.0</v>
      </c>
      <c r="F182" s="5">
        <f t="shared" si="1"/>
        <v>34</v>
      </c>
      <c r="G182" s="14">
        <v>1.0</v>
      </c>
      <c r="H182" s="5" t="s">
        <v>293</v>
      </c>
      <c r="I182" s="5" t="s">
        <v>222</v>
      </c>
      <c r="J182" s="5" t="s">
        <v>150</v>
      </c>
      <c r="K182" s="5">
        <v>2800.0</v>
      </c>
      <c r="L182" s="5">
        <v>1500.0</v>
      </c>
      <c r="M182" s="5">
        <v>116000.0</v>
      </c>
      <c r="N182" s="5">
        <f>M182/'Input Costs'!$B$6</f>
        <v>1266.513812</v>
      </c>
      <c r="O182" s="5">
        <v>28.0</v>
      </c>
      <c r="P182" s="5">
        <v>5.0</v>
      </c>
      <c r="Q182" s="6">
        <f t="shared" si="2"/>
        <v>46062</v>
      </c>
      <c r="R182" s="24" t="s">
        <v>424</v>
      </c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22"/>
      <c r="B183" s="23" t="s">
        <v>425</v>
      </c>
      <c r="C183" s="5" t="s">
        <v>115</v>
      </c>
      <c r="D183" s="5">
        <v>2.0</v>
      </c>
      <c r="E183" s="5">
        <v>18.0</v>
      </c>
      <c r="F183" s="5">
        <f t="shared" si="1"/>
        <v>36</v>
      </c>
      <c r="G183" s="14">
        <v>1.0</v>
      </c>
      <c r="H183" s="5" t="s">
        <v>293</v>
      </c>
      <c r="I183" s="5" t="s">
        <v>222</v>
      </c>
      <c r="J183" s="5" t="s">
        <v>150</v>
      </c>
      <c r="K183" s="5">
        <v>2800.0</v>
      </c>
      <c r="L183" s="5">
        <v>1500.0</v>
      </c>
      <c r="M183" s="5">
        <v>114000.0</v>
      </c>
      <c r="N183" s="5">
        <f>M183/'Input Costs'!$B$6</f>
        <v>1244.677367</v>
      </c>
      <c r="O183" s="5">
        <v>28.0</v>
      </c>
      <c r="P183" s="5">
        <v>5.0</v>
      </c>
      <c r="Q183" s="6">
        <f t="shared" si="2"/>
        <v>46062</v>
      </c>
      <c r="R183" s="24" t="s">
        <v>424</v>
      </c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22"/>
      <c r="B184" s="23" t="s">
        <v>426</v>
      </c>
      <c r="C184" s="5" t="s">
        <v>115</v>
      </c>
      <c r="D184" s="5">
        <v>2.0</v>
      </c>
      <c r="E184" s="5">
        <v>17.0</v>
      </c>
      <c r="F184" s="5">
        <f t="shared" si="1"/>
        <v>34</v>
      </c>
      <c r="G184" s="14">
        <v>1.0</v>
      </c>
      <c r="H184" s="5" t="s">
        <v>396</v>
      </c>
      <c r="I184" s="5" t="s">
        <v>222</v>
      </c>
      <c r="J184" s="5" t="s">
        <v>118</v>
      </c>
      <c r="K184" s="5">
        <v>2800.0</v>
      </c>
      <c r="L184" s="5">
        <v>1500.0</v>
      </c>
      <c r="M184" s="5">
        <v>118000.0</v>
      </c>
      <c r="N184" s="5">
        <f>M184/'Input Costs'!$B$6</f>
        <v>1288.350257</v>
      </c>
      <c r="O184" s="5">
        <v>28.0</v>
      </c>
      <c r="P184" s="5">
        <v>5.0</v>
      </c>
      <c r="Q184" s="6">
        <f t="shared" si="2"/>
        <v>46062</v>
      </c>
      <c r="R184" s="24" t="s">
        <v>427</v>
      </c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22"/>
      <c r="B185" s="23" t="s">
        <v>428</v>
      </c>
      <c r="C185" s="5" t="s">
        <v>115</v>
      </c>
      <c r="D185" s="5">
        <v>2.0</v>
      </c>
      <c r="E185" s="5">
        <v>20.0</v>
      </c>
      <c r="F185" s="5">
        <f t="shared" si="1"/>
        <v>40</v>
      </c>
      <c r="G185" s="14">
        <v>1.0</v>
      </c>
      <c r="H185" s="5" t="s">
        <v>396</v>
      </c>
      <c r="I185" s="5" t="s">
        <v>222</v>
      </c>
      <c r="J185" s="5" t="s">
        <v>118</v>
      </c>
      <c r="K185" s="5">
        <v>2800.0</v>
      </c>
      <c r="L185" s="5">
        <v>1500.0</v>
      </c>
      <c r="M185" s="5">
        <v>113000.0</v>
      </c>
      <c r="N185" s="5">
        <f>M185/'Input Costs'!$B$6</f>
        <v>1233.759144</v>
      </c>
      <c r="O185" s="5">
        <v>28.0</v>
      </c>
      <c r="P185" s="5">
        <v>5.0</v>
      </c>
      <c r="Q185" s="6">
        <f t="shared" si="2"/>
        <v>46062</v>
      </c>
      <c r="R185" s="24" t="s">
        <v>429</v>
      </c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25"/>
      <c r="B186" s="23" t="s">
        <v>430</v>
      </c>
      <c r="C186" s="5" t="s">
        <v>115</v>
      </c>
      <c r="D186" s="5">
        <v>2.0</v>
      </c>
      <c r="E186" s="5">
        <v>20.0</v>
      </c>
      <c r="F186" s="5">
        <f t="shared" si="1"/>
        <v>40</v>
      </c>
      <c r="G186" s="14">
        <v>1.0</v>
      </c>
      <c r="H186" s="5" t="s">
        <v>396</v>
      </c>
      <c r="I186" s="5" t="s">
        <v>222</v>
      </c>
      <c r="J186" s="5" t="s">
        <v>118</v>
      </c>
      <c r="K186" s="5">
        <v>2800.0</v>
      </c>
      <c r="L186" s="5">
        <v>1500.0</v>
      </c>
      <c r="M186" s="5">
        <v>113000.0</v>
      </c>
      <c r="N186" s="5">
        <f>M186/'Input Costs'!$B$6</f>
        <v>1233.759144</v>
      </c>
      <c r="O186" s="5">
        <v>28.0</v>
      </c>
      <c r="P186" s="5">
        <v>5.0</v>
      </c>
      <c r="Q186" s="6">
        <f t="shared" si="2"/>
        <v>46062</v>
      </c>
      <c r="R186" s="24" t="s">
        <v>429</v>
      </c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16" t="s">
        <v>431</v>
      </c>
      <c r="B187" s="23" t="s">
        <v>432</v>
      </c>
      <c r="C187" s="5" t="s">
        <v>115</v>
      </c>
      <c r="D187" s="5">
        <v>2.0</v>
      </c>
      <c r="E187" s="5">
        <v>17.0</v>
      </c>
      <c r="F187" s="5">
        <f t="shared" si="1"/>
        <v>34</v>
      </c>
      <c r="G187" s="14">
        <v>1.0</v>
      </c>
      <c r="H187" s="5" t="s">
        <v>293</v>
      </c>
      <c r="I187" s="5" t="s">
        <v>236</v>
      </c>
      <c r="J187" s="5" t="s">
        <v>118</v>
      </c>
      <c r="K187" s="5">
        <v>2800.0</v>
      </c>
      <c r="L187" s="5">
        <v>1500.0</v>
      </c>
      <c r="M187" s="5">
        <v>118000.0</v>
      </c>
      <c r="N187" s="5">
        <f>M187/'Input Costs'!$B$6</f>
        <v>1288.350257</v>
      </c>
      <c r="O187" s="5">
        <v>30.0</v>
      </c>
      <c r="P187" s="5">
        <v>5.0</v>
      </c>
      <c r="Q187" s="6">
        <f t="shared" si="2"/>
        <v>46062</v>
      </c>
      <c r="R187" s="24" t="s">
        <v>433</v>
      </c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22"/>
      <c r="B188" s="23" t="s">
        <v>434</v>
      </c>
      <c r="C188" s="5" t="s">
        <v>115</v>
      </c>
      <c r="D188" s="5">
        <v>2.0</v>
      </c>
      <c r="E188" s="5">
        <v>18.0</v>
      </c>
      <c r="F188" s="5">
        <f t="shared" si="1"/>
        <v>36</v>
      </c>
      <c r="G188" s="14">
        <v>1.0</v>
      </c>
      <c r="H188" s="5" t="s">
        <v>293</v>
      </c>
      <c r="I188" s="5" t="s">
        <v>236</v>
      </c>
      <c r="J188" s="5" t="s">
        <v>118</v>
      </c>
      <c r="K188" s="5">
        <v>2800.0</v>
      </c>
      <c r="L188" s="5">
        <v>1500.0</v>
      </c>
      <c r="M188" s="5">
        <v>116000.0</v>
      </c>
      <c r="N188" s="5">
        <f>M188/'Input Costs'!$B$6</f>
        <v>1266.513812</v>
      </c>
      <c r="O188" s="5">
        <v>30.0</v>
      </c>
      <c r="P188" s="5">
        <v>5.0</v>
      </c>
      <c r="Q188" s="6">
        <f t="shared" si="2"/>
        <v>46062</v>
      </c>
      <c r="R188" s="24" t="s">
        <v>435</v>
      </c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22"/>
      <c r="B189" s="23" t="s">
        <v>436</v>
      </c>
      <c r="C189" s="5" t="s">
        <v>115</v>
      </c>
      <c r="D189" s="5">
        <v>2.0</v>
      </c>
      <c r="E189" s="5">
        <v>20.0</v>
      </c>
      <c r="F189" s="5">
        <f t="shared" si="1"/>
        <v>40</v>
      </c>
      <c r="G189" s="14">
        <v>1.0</v>
      </c>
      <c r="H189" s="5" t="s">
        <v>293</v>
      </c>
      <c r="I189" s="5" t="s">
        <v>236</v>
      </c>
      <c r="J189" s="5" t="s">
        <v>118</v>
      </c>
      <c r="K189" s="5">
        <v>2800.0</v>
      </c>
      <c r="L189" s="5">
        <v>1500.0</v>
      </c>
      <c r="M189" s="5">
        <v>113000.0</v>
      </c>
      <c r="N189" s="5">
        <f>M189/'Input Costs'!$B$6</f>
        <v>1233.759144</v>
      </c>
      <c r="O189" s="5">
        <v>30.0</v>
      </c>
      <c r="P189" s="5">
        <v>5.0</v>
      </c>
      <c r="Q189" s="6">
        <f t="shared" si="2"/>
        <v>46062</v>
      </c>
      <c r="R189" s="24" t="s">
        <v>433</v>
      </c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22"/>
      <c r="B190" s="23" t="s">
        <v>437</v>
      </c>
      <c r="C190" s="5" t="s">
        <v>115</v>
      </c>
      <c r="D190" s="5">
        <v>2.0</v>
      </c>
      <c r="E190" s="5">
        <v>22.0</v>
      </c>
      <c r="F190" s="5">
        <f t="shared" si="1"/>
        <v>44</v>
      </c>
      <c r="G190" s="14">
        <v>1.0</v>
      </c>
      <c r="H190" s="5" t="s">
        <v>293</v>
      </c>
      <c r="I190" s="5" t="s">
        <v>236</v>
      </c>
      <c r="J190" s="5" t="s">
        <v>118</v>
      </c>
      <c r="K190" s="5">
        <v>2800.0</v>
      </c>
      <c r="L190" s="5">
        <v>1500.0</v>
      </c>
      <c r="M190" s="5">
        <v>111000.0</v>
      </c>
      <c r="N190" s="5">
        <f>M190/'Input Costs'!$B$6</f>
        <v>1211.922699</v>
      </c>
      <c r="O190" s="5">
        <v>30.0</v>
      </c>
      <c r="P190" s="5">
        <v>5.0</v>
      </c>
      <c r="Q190" s="6">
        <f t="shared" si="2"/>
        <v>46062</v>
      </c>
      <c r="R190" s="24" t="s">
        <v>433</v>
      </c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22"/>
      <c r="B191" s="23" t="s">
        <v>438</v>
      </c>
      <c r="C191" s="5" t="s">
        <v>115</v>
      </c>
      <c r="D191" s="5">
        <v>2.0</v>
      </c>
      <c r="E191" s="5">
        <v>17.0</v>
      </c>
      <c r="F191" s="5">
        <f t="shared" si="1"/>
        <v>34</v>
      </c>
      <c r="G191" s="14">
        <v>1.0</v>
      </c>
      <c r="H191" s="5" t="s">
        <v>293</v>
      </c>
      <c r="I191" s="5" t="s">
        <v>236</v>
      </c>
      <c r="J191" s="5" t="s">
        <v>150</v>
      </c>
      <c r="K191" s="5">
        <v>2800.0</v>
      </c>
      <c r="L191" s="5">
        <v>1500.0</v>
      </c>
      <c r="M191" s="5">
        <v>128000.0</v>
      </c>
      <c r="N191" s="5">
        <f>M191/'Input Costs'!$B$6</f>
        <v>1397.532482</v>
      </c>
      <c r="O191" s="5">
        <v>30.0</v>
      </c>
      <c r="P191" s="5">
        <v>5.0</v>
      </c>
      <c r="Q191" s="6">
        <f t="shared" si="2"/>
        <v>46062</v>
      </c>
      <c r="R191" s="24" t="s">
        <v>439</v>
      </c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25"/>
      <c r="B192" s="23" t="s">
        <v>440</v>
      </c>
      <c r="C192" s="5" t="s">
        <v>115</v>
      </c>
      <c r="D192" s="5">
        <v>2.0</v>
      </c>
      <c r="E192" s="5">
        <v>18.0</v>
      </c>
      <c r="F192" s="5">
        <f t="shared" si="1"/>
        <v>36</v>
      </c>
      <c r="G192" s="14">
        <v>1.0</v>
      </c>
      <c r="H192" s="5" t="s">
        <v>293</v>
      </c>
      <c r="I192" s="5" t="s">
        <v>236</v>
      </c>
      <c r="J192" s="5" t="s">
        <v>150</v>
      </c>
      <c r="K192" s="5">
        <v>2800.0</v>
      </c>
      <c r="L192" s="5">
        <v>1500.0</v>
      </c>
      <c r="M192" s="5">
        <v>126000.0</v>
      </c>
      <c r="N192" s="5">
        <f>M192/'Input Costs'!$B$6</f>
        <v>1375.696037</v>
      </c>
      <c r="O192" s="5">
        <v>30.0</v>
      </c>
      <c r="P192" s="5">
        <v>5.0</v>
      </c>
      <c r="Q192" s="6">
        <f t="shared" si="2"/>
        <v>46062</v>
      </c>
      <c r="R192" s="24" t="s">
        <v>439</v>
      </c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27" t="s">
        <v>441</v>
      </c>
      <c r="B193" s="5" t="s">
        <v>442</v>
      </c>
      <c r="C193" s="5" t="s">
        <v>246</v>
      </c>
      <c r="D193" s="5">
        <v>2.0</v>
      </c>
      <c r="E193" s="5">
        <v>15.0</v>
      </c>
      <c r="F193" s="5">
        <f t="shared" si="1"/>
        <v>30</v>
      </c>
      <c r="G193" s="14">
        <v>1.0</v>
      </c>
      <c r="H193" s="5" t="s">
        <v>293</v>
      </c>
      <c r="I193" s="5" t="s">
        <v>117</v>
      </c>
      <c r="J193" s="5" t="s">
        <v>118</v>
      </c>
      <c r="K193" s="5">
        <v>2700.0</v>
      </c>
      <c r="L193" s="5">
        <v>1400.0</v>
      </c>
      <c r="M193" s="5">
        <v>109000.0</v>
      </c>
      <c r="N193" s="5">
        <f>M193/'Input Costs'!$B$6</f>
        <v>1190.086254</v>
      </c>
      <c r="O193" s="5">
        <v>21.0</v>
      </c>
      <c r="P193" s="5">
        <v>3.0</v>
      </c>
      <c r="Q193" s="6">
        <f t="shared" si="2"/>
        <v>46062</v>
      </c>
      <c r="R193" s="24" t="s">
        <v>443</v>
      </c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28"/>
      <c r="B194" s="5" t="s">
        <v>444</v>
      </c>
      <c r="C194" s="5" t="s">
        <v>246</v>
      </c>
      <c r="D194" s="5">
        <v>2.0</v>
      </c>
      <c r="E194" s="5">
        <v>17.0</v>
      </c>
      <c r="F194" s="5">
        <f t="shared" si="1"/>
        <v>34</v>
      </c>
      <c r="G194" s="14">
        <v>1.0</v>
      </c>
      <c r="H194" s="5" t="s">
        <v>293</v>
      </c>
      <c r="I194" s="5" t="s">
        <v>117</v>
      </c>
      <c r="J194" s="5" t="s">
        <v>118</v>
      </c>
      <c r="K194" s="5">
        <v>2700.0</v>
      </c>
      <c r="L194" s="5">
        <v>1400.0</v>
      </c>
      <c r="M194" s="5">
        <v>106000.0</v>
      </c>
      <c r="N194" s="5">
        <f>M194/'Input Costs'!$B$6</f>
        <v>1157.331586</v>
      </c>
      <c r="O194" s="5">
        <v>21.0</v>
      </c>
      <c r="P194" s="5">
        <v>3.0</v>
      </c>
      <c r="Q194" s="6">
        <f t="shared" si="2"/>
        <v>46062</v>
      </c>
      <c r="R194" s="24" t="s">
        <v>443</v>
      </c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28"/>
      <c r="B195" s="5" t="s">
        <v>445</v>
      </c>
      <c r="C195" s="5" t="s">
        <v>246</v>
      </c>
      <c r="D195" s="5">
        <v>2.0</v>
      </c>
      <c r="E195" s="5">
        <v>18.0</v>
      </c>
      <c r="F195" s="5">
        <f t="shared" si="1"/>
        <v>36</v>
      </c>
      <c r="G195" s="14">
        <v>1.0</v>
      </c>
      <c r="H195" s="5" t="s">
        <v>293</v>
      </c>
      <c r="I195" s="5" t="s">
        <v>117</v>
      </c>
      <c r="J195" s="5" t="s">
        <v>118</v>
      </c>
      <c r="K195" s="5">
        <v>2700.0</v>
      </c>
      <c r="L195" s="5">
        <v>1400.0</v>
      </c>
      <c r="M195" s="5">
        <v>104000.0</v>
      </c>
      <c r="N195" s="5">
        <f>M195/'Input Costs'!$B$6</f>
        <v>1135.495141</v>
      </c>
      <c r="O195" s="5">
        <v>21.0</v>
      </c>
      <c r="P195" s="5">
        <v>3.0</v>
      </c>
      <c r="Q195" s="6">
        <f t="shared" si="2"/>
        <v>46062</v>
      </c>
      <c r="R195" s="24" t="s">
        <v>443</v>
      </c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28"/>
      <c r="B196" s="5" t="s">
        <v>446</v>
      </c>
      <c r="C196" s="5" t="s">
        <v>246</v>
      </c>
      <c r="D196" s="5">
        <v>2.0</v>
      </c>
      <c r="E196" s="5">
        <v>20.0</v>
      </c>
      <c r="F196" s="5">
        <f t="shared" si="1"/>
        <v>40</v>
      </c>
      <c r="G196" s="14">
        <v>1.0</v>
      </c>
      <c r="H196" s="5" t="s">
        <v>293</v>
      </c>
      <c r="I196" s="5" t="s">
        <v>117</v>
      </c>
      <c r="J196" s="5" t="s">
        <v>118</v>
      </c>
      <c r="K196" s="5">
        <v>2700.0</v>
      </c>
      <c r="L196" s="5">
        <v>1400.0</v>
      </c>
      <c r="M196" s="5">
        <v>101000.0</v>
      </c>
      <c r="N196" s="5">
        <f>M196/'Input Costs'!$B$6</f>
        <v>1102.740474</v>
      </c>
      <c r="O196" s="5">
        <v>21.0</v>
      </c>
      <c r="P196" s="5">
        <v>3.0</v>
      </c>
      <c r="Q196" s="6">
        <f t="shared" si="2"/>
        <v>46062</v>
      </c>
      <c r="R196" s="24" t="s">
        <v>443</v>
      </c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28"/>
      <c r="B197" s="5" t="s">
        <v>447</v>
      </c>
      <c r="C197" s="5" t="s">
        <v>246</v>
      </c>
      <c r="D197" s="5">
        <v>2.0</v>
      </c>
      <c r="E197" s="5">
        <v>22.0</v>
      </c>
      <c r="F197" s="5">
        <f t="shared" si="1"/>
        <v>44</v>
      </c>
      <c r="G197" s="14">
        <v>1.0</v>
      </c>
      <c r="H197" s="5" t="s">
        <v>293</v>
      </c>
      <c r="I197" s="5" t="s">
        <v>117</v>
      </c>
      <c r="J197" s="5" t="s">
        <v>118</v>
      </c>
      <c r="K197" s="5">
        <v>2700.0</v>
      </c>
      <c r="L197" s="5">
        <v>1400.0</v>
      </c>
      <c r="M197" s="5">
        <v>99000.0</v>
      </c>
      <c r="N197" s="5">
        <f>M197/'Input Costs'!$B$6</f>
        <v>1080.904029</v>
      </c>
      <c r="O197" s="5">
        <v>21.0</v>
      </c>
      <c r="P197" s="5">
        <v>3.0</v>
      </c>
      <c r="Q197" s="6">
        <f t="shared" si="2"/>
        <v>46062</v>
      </c>
      <c r="R197" s="24" t="s">
        <v>443</v>
      </c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28"/>
      <c r="B198" s="5" t="s">
        <v>448</v>
      </c>
      <c r="C198" s="5" t="s">
        <v>246</v>
      </c>
      <c r="D198" s="5">
        <v>2.0</v>
      </c>
      <c r="E198" s="5">
        <v>17.0</v>
      </c>
      <c r="F198" s="5">
        <f t="shared" si="1"/>
        <v>34</v>
      </c>
      <c r="G198" s="14">
        <v>1.0</v>
      </c>
      <c r="H198" s="5" t="s">
        <v>293</v>
      </c>
      <c r="I198" s="5" t="s">
        <v>117</v>
      </c>
      <c r="J198" s="5" t="s">
        <v>150</v>
      </c>
      <c r="K198" s="5">
        <v>2700.0</v>
      </c>
      <c r="L198" s="5">
        <v>1400.0</v>
      </c>
      <c r="M198" s="5">
        <v>119000.0</v>
      </c>
      <c r="N198" s="5">
        <f>M198/'Input Costs'!$B$6</f>
        <v>1299.268479</v>
      </c>
      <c r="O198" s="5">
        <v>25.0</v>
      </c>
      <c r="P198" s="5">
        <v>3.0</v>
      </c>
      <c r="Q198" s="6">
        <f t="shared" si="2"/>
        <v>46062</v>
      </c>
      <c r="R198" s="24" t="s">
        <v>449</v>
      </c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28"/>
      <c r="B199" s="5" t="s">
        <v>450</v>
      </c>
      <c r="C199" s="5" t="s">
        <v>246</v>
      </c>
      <c r="D199" s="5">
        <v>2.0</v>
      </c>
      <c r="E199" s="5">
        <v>18.0</v>
      </c>
      <c r="F199" s="5">
        <f t="shared" si="1"/>
        <v>36</v>
      </c>
      <c r="G199" s="14">
        <v>1.0</v>
      </c>
      <c r="H199" s="5" t="s">
        <v>293</v>
      </c>
      <c r="I199" s="5" t="s">
        <v>117</v>
      </c>
      <c r="J199" s="5" t="s">
        <v>150</v>
      </c>
      <c r="K199" s="5">
        <v>2700.0</v>
      </c>
      <c r="L199" s="5">
        <v>1400.0</v>
      </c>
      <c r="M199" s="5">
        <v>117000.0</v>
      </c>
      <c r="N199" s="5">
        <f>M199/'Input Costs'!$B$6</f>
        <v>1277.432034</v>
      </c>
      <c r="O199" s="5">
        <v>25.0</v>
      </c>
      <c r="P199" s="5">
        <v>3.0</v>
      </c>
      <c r="Q199" s="6">
        <f t="shared" si="2"/>
        <v>46062</v>
      </c>
      <c r="R199" s="24" t="s">
        <v>449</v>
      </c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28"/>
      <c r="B200" s="5" t="s">
        <v>451</v>
      </c>
      <c r="C200" s="5" t="s">
        <v>246</v>
      </c>
      <c r="D200" s="5">
        <v>2.0</v>
      </c>
      <c r="E200" s="5">
        <v>17.0</v>
      </c>
      <c r="F200" s="5">
        <f t="shared" si="1"/>
        <v>34</v>
      </c>
      <c r="G200" s="14">
        <v>0.7</v>
      </c>
      <c r="H200" s="5" t="s">
        <v>293</v>
      </c>
      <c r="I200" s="5" t="s">
        <v>117</v>
      </c>
      <c r="J200" s="5" t="s">
        <v>118</v>
      </c>
      <c r="K200" s="5">
        <v>2700.0</v>
      </c>
      <c r="L200" s="5">
        <v>1400.0</v>
      </c>
      <c r="M200" s="5">
        <v>92000.0</v>
      </c>
      <c r="N200" s="5">
        <f>M200/'Input Costs'!$B$6</f>
        <v>1004.476471</v>
      </c>
      <c r="O200" s="5">
        <v>21.0</v>
      </c>
      <c r="P200" s="5">
        <v>3.0</v>
      </c>
      <c r="Q200" s="6">
        <f t="shared" si="2"/>
        <v>46062</v>
      </c>
      <c r="R200" s="24" t="s">
        <v>452</v>
      </c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28"/>
      <c r="B201" s="5" t="s">
        <v>453</v>
      </c>
      <c r="C201" s="5" t="s">
        <v>246</v>
      </c>
      <c r="D201" s="5">
        <v>2.0</v>
      </c>
      <c r="E201" s="5">
        <v>18.0</v>
      </c>
      <c r="F201" s="5">
        <f t="shared" si="1"/>
        <v>36</v>
      </c>
      <c r="G201" s="14">
        <v>0.7</v>
      </c>
      <c r="H201" s="5" t="s">
        <v>293</v>
      </c>
      <c r="I201" s="5" t="s">
        <v>117</v>
      </c>
      <c r="J201" s="5" t="s">
        <v>118</v>
      </c>
      <c r="K201" s="5">
        <v>2700.0</v>
      </c>
      <c r="L201" s="5">
        <v>1400.0</v>
      </c>
      <c r="M201" s="5">
        <v>90000.0</v>
      </c>
      <c r="N201" s="5">
        <f>M201/'Input Costs'!$B$6</f>
        <v>982.6400262</v>
      </c>
      <c r="O201" s="5">
        <v>21.0</v>
      </c>
      <c r="P201" s="5">
        <v>3.0</v>
      </c>
      <c r="Q201" s="6">
        <f t="shared" si="2"/>
        <v>46062</v>
      </c>
      <c r="R201" s="24" t="s">
        <v>452</v>
      </c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29"/>
      <c r="B202" s="5" t="s">
        <v>454</v>
      </c>
      <c r="C202" s="5" t="s">
        <v>246</v>
      </c>
      <c r="D202" s="5">
        <v>2.0</v>
      </c>
      <c r="E202" s="5">
        <v>22.0</v>
      </c>
      <c r="F202" s="5">
        <f t="shared" si="1"/>
        <v>44</v>
      </c>
      <c r="G202" s="14">
        <v>1.0</v>
      </c>
      <c r="H202" s="5" t="s">
        <v>396</v>
      </c>
      <c r="I202" s="5" t="s">
        <v>117</v>
      </c>
      <c r="J202" s="5" t="s">
        <v>118</v>
      </c>
      <c r="K202" s="5">
        <v>2700.0</v>
      </c>
      <c r="L202" s="5">
        <v>1400.0</v>
      </c>
      <c r="M202" s="5">
        <v>114000.0</v>
      </c>
      <c r="N202" s="5">
        <f>M202/'Input Costs'!$B$6</f>
        <v>1244.677367</v>
      </c>
      <c r="O202" s="5">
        <v>25.0</v>
      </c>
      <c r="P202" s="5">
        <v>3.0</v>
      </c>
      <c r="Q202" s="6">
        <f t="shared" si="2"/>
        <v>46062</v>
      </c>
      <c r="R202" s="24" t="s">
        <v>455</v>
      </c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16" t="s">
        <v>456</v>
      </c>
      <c r="B203" s="23" t="s">
        <v>457</v>
      </c>
      <c r="C203" s="5" t="s">
        <v>262</v>
      </c>
      <c r="D203" s="5">
        <v>2.0</v>
      </c>
      <c r="E203" s="5">
        <v>15.0</v>
      </c>
      <c r="F203" s="5">
        <f t="shared" si="1"/>
        <v>30</v>
      </c>
      <c r="G203" s="14">
        <v>1.0</v>
      </c>
      <c r="H203" s="5" t="s">
        <v>293</v>
      </c>
      <c r="I203" s="5" t="s">
        <v>117</v>
      </c>
      <c r="J203" s="5" t="s">
        <v>118</v>
      </c>
      <c r="K203" s="5">
        <v>2850.0</v>
      </c>
      <c r="L203" s="5">
        <v>1600.0</v>
      </c>
      <c r="M203" s="5">
        <v>114000.0</v>
      </c>
      <c r="N203" s="5">
        <f>M203/'Input Costs'!$B$6</f>
        <v>1244.677367</v>
      </c>
      <c r="O203" s="5">
        <v>45.0</v>
      </c>
      <c r="P203" s="5">
        <v>10.0</v>
      </c>
      <c r="Q203" s="6">
        <f t="shared" si="2"/>
        <v>46062</v>
      </c>
      <c r="R203" s="24" t="s">
        <v>458</v>
      </c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22"/>
      <c r="B204" s="23" t="s">
        <v>459</v>
      </c>
      <c r="C204" s="5" t="s">
        <v>262</v>
      </c>
      <c r="D204" s="5">
        <v>2.0</v>
      </c>
      <c r="E204" s="5">
        <v>17.0</v>
      </c>
      <c r="F204" s="5">
        <f t="shared" si="1"/>
        <v>34</v>
      </c>
      <c r="G204" s="14">
        <v>1.0</v>
      </c>
      <c r="H204" s="5" t="s">
        <v>293</v>
      </c>
      <c r="I204" s="5" t="s">
        <v>117</v>
      </c>
      <c r="J204" s="5" t="s">
        <v>118</v>
      </c>
      <c r="K204" s="5">
        <v>2850.0</v>
      </c>
      <c r="L204" s="5">
        <v>1600.0</v>
      </c>
      <c r="M204" s="5">
        <v>111000.0</v>
      </c>
      <c r="N204" s="5">
        <f>M204/'Input Costs'!$B$6</f>
        <v>1211.922699</v>
      </c>
      <c r="O204" s="5">
        <v>45.0</v>
      </c>
      <c r="P204" s="5">
        <v>10.0</v>
      </c>
      <c r="Q204" s="6">
        <f t="shared" si="2"/>
        <v>46062</v>
      </c>
      <c r="R204" s="24" t="s">
        <v>458</v>
      </c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22"/>
      <c r="B205" s="23" t="s">
        <v>460</v>
      </c>
      <c r="C205" s="5" t="s">
        <v>262</v>
      </c>
      <c r="D205" s="5">
        <v>2.0</v>
      </c>
      <c r="E205" s="5">
        <v>18.0</v>
      </c>
      <c r="F205" s="5">
        <f t="shared" si="1"/>
        <v>36</v>
      </c>
      <c r="G205" s="14">
        <v>1.0</v>
      </c>
      <c r="H205" s="5" t="s">
        <v>293</v>
      </c>
      <c r="I205" s="5" t="s">
        <v>117</v>
      </c>
      <c r="J205" s="5" t="s">
        <v>118</v>
      </c>
      <c r="K205" s="5">
        <v>2850.0</v>
      </c>
      <c r="L205" s="5">
        <v>1600.0</v>
      </c>
      <c r="M205" s="5">
        <v>109000.0</v>
      </c>
      <c r="N205" s="5">
        <f>M205/'Input Costs'!$B$6</f>
        <v>1190.086254</v>
      </c>
      <c r="O205" s="5">
        <v>45.0</v>
      </c>
      <c r="P205" s="5">
        <v>10.0</v>
      </c>
      <c r="Q205" s="6">
        <f t="shared" si="2"/>
        <v>46062</v>
      </c>
      <c r="R205" s="24" t="s">
        <v>458</v>
      </c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22"/>
      <c r="B206" s="23" t="s">
        <v>461</v>
      </c>
      <c r="C206" s="5" t="s">
        <v>262</v>
      </c>
      <c r="D206" s="5">
        <v>2.0</v>
      </c>
      <c r="E206" s="5">
        <v>20.0</v>
      </c>
      <c r="F206" s="5">
        <f t="shared" si="1"/>
        <v>40</v>
      </c>
      <c r="G206" s="14">
        <v>1.0</v>
      </c>
      <c r="H206" s="5" t="s">
        <v>293</v>
      </c>
      <c r="I206" s="5" t="s">
        <v>117</v>
      </c>
      <c r="J206" s="5" t="s">
        <v>118</v>
      </c>
      <c r="K206" s="5">
        <v>2850.0</v>
      </c>
      <c r="L206" s="5">
        <v>1600.0</v>
      </c>
      <c r="M206" s="5">
        <v>106000.0</v>
      </c>
      <c r="N206" s="5">
        <f>M206/'Input Costs'!$B$6</f>
        <v>1157.331586</v>
      </c>
      <c r="O206" s="5">
        <v>45.0</v>
      </c>
      <c r="P206" s="5">
        <v>10.0</v>
      </c>
      <c r="Q206" s="6">
        <f t="shared" si="2"/>
        <v>46062</v>
      </c>
      <c r="R206" s="24" t="s">
        <v>458</v>
      </c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22"/>
      <c r="B207" s="23" t="s">
        <v>462</v>
      </c>
      <c r="C207" s="5" t="s">
        <v>262</v>
      </c>
      <c r="D207" s="5">
        <v>2.0</v>
      </c>
      <c r="E207" s="5">
        <v>22.0</v>
      </c>
      <c r="F207" s="5">
        <f t="shared" si="1"/>
        <v>44</v>
      </c>
      <c r="G207" s="14">
        <v>1.0</v>
      </c>
      <c r="H207" s="5" t="s">
        <v>293</v>
      </c>
      <c r="I207" s="5" t="s">
        <v>117</v>
      </c>
      <c r="J207" s="5" t="s">
        <v>118</v>
      </c>
      <c r="K207" s="5">
        <v>2850.0</v>
      </c>
      <c r="L207" s="5">
        <v>1600.0</v>
      </c>
      <c r="M207" s="5">
        <v>104000.0</v>
      </c>
      <c r="N207" s="5">
        <f>M207/'Input Costs'!$B$6</f>
        <v>1135.495141</v>
      </c>
      <c r="O207" s="5">
        <v>45.0</v>
      </c>
      <c r="P207" s="5">
        <v>10.0</v>
      </c>
      <c r="Q207" s="6">
        <f t="shared" si="2"/>
        <v>46062</v>
      </c>
      <c r="R207" s="24" t="s">
        <v>458</v>
      </c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22"/>
      <c r="B208" s="23" t="s">
        <v>463</v>
      </c>
      <c r="C208" s="5" t="s">
        <v>262</v>
      </c>
      <c r="D208" s="5">
        <v>2.0</v>
      </c>
      <c r="E208" s="5">
        <v>17.0</v>
      </c>
      <c r="F208" s="5">
        <f t="shared" si="1"/>
        <v>34</v>
      </c>
      <c r="G208" s="14">
        <v>1.0</v>
      </c>
      <c r="H208" s="5" t="s">
        <v>293</v>
      </c>
      <c r="I208" s="5" t="s">
        <v>117</v>
      </c>
      <c r="J208" s="5" t="s">
        <v>150</v>
      </c>
      <c r="K208" s="5">
        <v>2850.0</v>
      </c>
      <c r="L208" s="5">
        <v>1600.0</v>
      </c>
      <c r="M208" s="5">
        <v>126000.0</v>
      </c>
      <c r="N208" s="5">
        <f>M208/'Input Costs'!$B$6</f>
        <v>1375.696037</v>
      </c>
      <c r="O208" s="5">
        <v>45.0</v>
      </c>
      <c r="P208" s="5">
        <v>10.0</v>
      </c>
      <c r="Q208" s="6">
        <f t="shared" si="2"/>
        <v>46062</v>
      </c>
      <c r="R208" s="24" t="s">
        <v>464</v>
      </c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22"/>
      <c r="B209" s="23" t="s">
        <v>465</v>
      </c>
      <c r="C209" s="5" t="s">
        <v>262</v>
      </c>
      <c r="D209" s="5">
        <v>2.0</v>
      </c>
      <c r="E209" s="5">
        <v>18.0</v>
      </c>
      <c r="F209" s="5">
        <f t="shared" si="1"/>
        <v>36</v>
      </c>
      <c r="G209" s="14">
        <v>1.0</v>
      </c>
      <c r="H209" s="5" t="s">
        <v>293</v>
      </c>
      <c r="I209" s="5" t="s">
        <v>117</v>
      </c>
      <c r="J209" s="5" t="s">
        <v>150</v>
      </c>
      <c r="K209" s="5">
        <v>2850.0</v>
      </c>
      <c r="L209" s="5">
        <v>1600.0</v>
      </c>
      <c r="M209" s="5">
        <v>124000.0</v>
      </c>
      <c r="N209" s="5">
        <f>M209/'Input Costs'!$B$6</f>
        <v>1353.859592</v>
      </c>
      <c r="O209" s="5">
        <v>45.0</v>
      </c>
      <c r="P209" s="5">
        <v>10.0</v>
      </c>
      <c r="Q209" s="6">
        <f t="shared" si="2"/>
        <v>46062</v>
      </c>
      <c r="R209" s="24" t="s">
        <v>464</v>
      </c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22"/>
      <c r="B210" s="23" t="s">
        <v>466</v>
      </c>
      <c r="C210" s="5" t="s">
        <v>262</v>
      </c>
      <c r="D210" s="5">
        <v>2.0</v>
      </c>
      <c r="E210" s="5">
        <v>22.0</v>
      </c>
      <c r="F210" s="5">
        <f t="shared" si="1"/>
        <v>44</v>
      </c>
      <c r="G210" s="14">
        <v>1.0</v>
      </c>
      <c r="H210" s="5" t="s">
        <v>396</v>
      </c>
      <c r="I210" s="5" t="s">
        <v>117</v>
      </c>
      <c r="J210" s="5" t="s">
        <v>118</v>
      </c>
      <c r="K210" s="5">
        <v>2850.0</v>
      </c>
      <c r="L210" s="5">
        <v>1600.0</v>
      </c>
      <c r="M210" s="5">
        <v>121000.0</v>
      </c>
      <c r="N210" s="5">
        <f>M210/'Input Costs'!$B$6</f>
        <v>1321.104924</v>
      </c>
      <c r="O210" s="5">
        <v>45.0</v>
      </c>
      <c r="P210" s="5">
        <v>10.0</v>
      </c>
      <c r="Q210" s="6">
        <f t="shared" si="2"/>
        <v>46062</v>
      </c>
      <c r="R210" s="24" t="s">
        <v>467</v>
      </c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22"/>
      <c r="B211" s="23" t="s">
        <v>468</v>
      </c>
      <c r="C211" s="5" t="s">
        <v>262</v>
      </c>
      <c r="D211" s="5">
        <v>2.0</v>
      </c>
      <c r="E211" s="5">
        <v>17.0</v>
      </c>
      <c r="F211" s="5">
        <f t="shared" si="1"/>
        <v>34</v>
      </c>
      <c r="G211" s="14">
        <v>1.0</v>
      </c>
      <c r="H211" s="5" t="s">
        <v>293</v>
      </c>
      <c r="I211" s="5" t="s">
        <v>222</v>
      </c>
      <c r="J211" s="5" t="s">
        <v>150</v>
      </c>
      <c r="K211" s="5">
        <v>2850.0</v>
      </c>
      <c r="L211" s="5">
        <v>1600.0</v>
      </c>
      <c r="M211" s="5">
        <v>121000.0</v>
      </c>
      <c r="N211" s="5">
        <f>M211/'Input Costs'!$B$6</f>
        <v>1321.104924</v>
      </c>
      <c r="O211" s="5">
        <v>45.0</v>
      </c>
      <c r="P211" s="5">
        <v>10.0</v>
      </c>
      <c r="Q211" s="6">
        <f t="shared" si="2"/>
        <v>46062</v>
      </c>
      <c r="R211" s="24" t="s">
        <v>469</v>
      </c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25"/>
      <c r="B212" s="23" t="s">
        <v>470</v>
      </c>
      <c r="C212" s="5" t="s">
        <v>262</v>
      </c>
      <c r="D212" s="5">
        <v>2.0</v>
      </c>
      <c r="E212" s="5">
        <v>18.0</v>
      </c>
      <c r="F212" s="5">
        <f t="shared" si="1"/>
        <v>36</v>
      </c>
      <c r="G212" s="14">
        <v>1.0</v>
      </c>
      <c r="H212" s="5" t="s">
        <v>293</v>
      </c>
      <c r="I212" s="5" t="s">
        <v>222</v>
      </c>
      <c r="J212" s="5" t="s">
        <v>150</v>
      </c>
      <c r="K212" s="5">
        <v>2850.0</v>
      </c>
      <c r="L212" s="5">
        <v>1600.0</v>
      </c>
      <c r="M212" s="5">
        <v>119000.0</v>
      </c>
      <c r="N212" s="5">
        <f>M212/'Input Costs'!$B$6</f>
        <v>1299.268479</v>
      </c>
      <c r="O212" s="5">
        <v>45.0</v>
      </c>
      <c r="P212" s="5">
        <v>10.0</v>
      </c>
      <c r="Q212" s="6">
        <f t="shared" si="2"/>
        <v>46062</v>
      </c>
      <c r="R212" s="24" t="s">
        <v>469</v>
      </c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16" t="s">
        <v>471</v>
      </c>
      <c r="B213" s="23" t="s">
        <v>472</v>
      </c>
      <c r="C213" s="5" t="s">
        <v>262</v>
      </c>
      <c r="D213" s="5">
        <v>2.0</v>
      </c>
      <c r="E213" s="5">
        <v>14.0</v>
      </c>
      <c r="F213" s="5">
        <f t="shared" si="1"/>
        <v>28</v>
      </c>
      <c r="G213" s="14">
        <v>1.0</v>
      </c>
      <c r="H213" s="5" t="s">
        <v>293</v>
      </c>
      <c r="I213" s="5" t="s">
        <v>117</v>
      </c>
      <c r="J213" s="5" t="s">
        <v>150</v>
      </c>
      <c r="K213" s="5">
        <v>2850.0</v>
      </c>
      <c r="L213" s="5">
        <v>1600.0</v>
      </c>
      <c r="M213" s="5">
        <v>155000.0</v>
      </c>
      <c r="N213" s="5">
        <f>M213/'Input Costs'!$B$6</f>
        <v>1692.32449</v>
      </c>
      <c r="O213" s="5">
        <v>60.0</v>
      </c>
      <c r="P213" s="5">
        <v>10.0</v>
      </c>
      <c r="Q213" s="6">
        <f t="shared" si="2"/>
        <v>46062</v>
      </c>
      <c r="R213" s="24" t="s">
        <v>473</v>
      </c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22"/>
      <c r="B214" s="23" t="s">
        <v>474</v>
      </c>
      <c r="C214" s="5" t="s">
        <v>262</v>
      </c>
      <c r="D214" s="5">
        <v>2.0</v>
      </c>
      <c r="E214" s="5">
        <v>16.0</v>
      </c>
      <c r="F214" s="5">
        <f t="shared" si="1"/>
        <v>32</v>
      </c>
      <c r="G214" s="14">
        <v>1.0</v>
      </c>
      <c r="H214" s="5" t="s">
        <v>293</v>
      </c>
      <c r="I214" s="5" t="s">
        <v>117</v>
      </c>
      <c r="J214" s="5" t="s">
        <v>150</v>
      </c>
      <c r="K214" s="5">
        <v>2850.0</v>
      </c>
      <c r="L214" s="5">
        <v>1600.0</v>
      </c>
      <c r="M214" s="5">
        <v>150000.0</v>
      </c>
      <c r="N214" s="5">
        <f>M214/'Input Costs'!$B$6</f>
        <v>1637.733377</v>
      </c>
      <c r="O214" s="5">
        <v>60.0</v>
      </c>
      <c r="P214" s="5">
        <v>10.0</v>
      </c>
      <c r="Q214" s="6">
        <f t="shared" si="2"/>
        <v>46062</v>
      </c>
      <c r="R214" s="24" t="s">
        <v>473</v>
      </c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22"/>
      <c r="B215" s="23" t="s">
        <v>475</v>
      </c>
      <c r="C215" s="5" t="s">
        <v>262</v>
      </c>
      <c r="D215" s="5">
        <v>2.0</v>
      </c>
      <c r="E215" s="5">
        <v>18.0</v>
      </c>
      <c r="F215" s="5">
        <f t="shared" si="1"/>
        <v>36</v>
      </c>
      <c r="G215" s="14">
        <v>1.0</v>
      </c>
      <c r="H215" s="5" t="s">
        <v>293</v>
      </c>
      <c r="I215" s="5" t="s">
        <v>117</v>
      </c>
      <c r="J215" s="5" t="s">
        <v>150</v>
      </c>
      <c r="K215" s="5">
        <v>2850.0</v>
      </c>
      <c r="L215" s="5">
        <v>1600.0</v>
      </c>
      <c r="M215" s="5">
        <v>145000.0</v>
      </c>
      <c r="N215" s="5">
        <f>M215/'Input Costs'!$B$6</f>
        <v>1583.142264</v>
      </c>
      <c r="O215" s="5">
        <v>60.0</v>
      </c>
      <c r="P215" s="5">
        <v>10.0</v>
      </c>
      <c r="Q215" s="6">
        <f t="shared" si="2"/>
        <v>46062</v>
      </c>
      <c r="R215" s="24" t="s">
        <v>473</v>
      </c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22"/>
      <c r="B216" s="23" t="s">
        <v>476</v>
      </c>
      <c r="C216" s="5" t="s">
        <v>282</v>
      </c>
      <c r="D216" s="5">
        <v>2.0</v>
      </c>
      <c r="E216" s="5">
        <v>17.0</v>
      </c>
      <c r="F216" s="5">
        <f t="shared" si="1"/>
        <v>34</v>
      </c>
      <c r="G216" s="14">
        <v>1.0</v>
      </c>
      <c r="H216" s="5" t="s">
        <v>293</v>
      </c>
      <c r="I216" s="5" t="s">
        <v>222</v>
      </c>
      <c r="J216" s="5" t="s">
        <v>118</v>
      </c>
      <c r="K216" s="5">
        <v>2600.0</v>
      </c>
      <c r="L216" s="5">
        <v>1400.0</v>
      </c>
      <c r="M216" s="5">
        <v>132000.0</v>
      </c>
      <c r="N216" s="5">
        <f>M216/'Input Costs'!$B$6</f>
        <v>1441.205372</v>
      </c>
      <c r="O216" s="5">
        <v>45.0</v>
      </c>
      <c r="P216" s="5">
        <v>5.0</v>
      </c>
      <c r="Q216" s="6">
        <f t="shared" si="2"/>
        <v>46062</v>
      </c>
      <c r="R216" s="24" t="s">
        <v>477</v>
      </c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22"/>
      <c r="B217" s="23" t="s">
        <v>478</v>
      </c>
      <c r="C217" s="5" t="s">
        <v>282</v>
      </c>
      <c r="D217" s="5">
        <v>2.0</v>
      </c>
      <c r="E217" s="5">
        <v>18.0</v>
      </c>
      <c r="F217" s="5">
        <f t="shared" si="1"/>
        <v>36</v>
      </c>
      <c r="G217" s="14">
        <v>1.0</v>
      </c>
      <c r="H217" s="5" t="s">
        <v>293</v>
      </c>
      <c r="I217" s="5" t="s">
        <v>222</v>
      </c>
      <c r="J217" s="5" t="s">
        <v>118</v>
      </c>
      <c r="K217" s="5">
        <v>2600.0</v>
      </c>
      <c r="L217" s="5">
        <v>1400.0</v>
      </c>
      <c r="M217" s="5">
        <v>129000.0</v>
      </c>
      <c r="N217" s="5">
        <f>M217/'Input Costs'!$B$6</f>
        <v>1408.450704</v>
      </c>
      <c r="O217" s="5">
        <v>45.0</v>
      </c>
      <c r="P217" s="5">
        <v>5.0</v>
      </c>
      <c r="Q217" s="6">
        <f t="shared" si="2"/>
        <v>46062</v>
      </c>
      <c r="R217" s="24" t="s">
        <v>477</v>
      </c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22"/>
      <c r="B218" s="23" t="s">
        <v>479</v>
      </c>
      <c r="C218" s="5" t="s">
        <v>282</v>
      </c>
      <c r="D218" s="5">
        <v>2.0</v>
      </c>
      <c r="E218" s="5">
        <v>22.0</v>
      </c>
      <c r="F218" s="5">
        <f t="shared" si="1"/>
        <v>44</v>
      </c>
      <c r="G218" s="14">
        <v>1.0</v>
      </c>
      <c r="H218" s="5" t="s">
        <v>293</v>
      </c>
      <c r="I218" s="5" t="s">
        <v>222</v>
      </c>
      <c r="J218" s="5" t="s">
        <v>118</v>
      </c>
      <c r="K218" s="5">
        <v>2600.0</v>
      </c>
      <c r="L218" s="5">
        <v>1400.0</v>
      </c>
      <c r="M218" s="5">
        <v>129000.0</v>
      </c>
      <c r="N218" s="5">
        <f>M218/'Input Costs'!$B$6</f>
        <v>1408.450704</v>
      </c>
      <c r="O218" s="5">
        <v>45.0</v>
      </c>
      <c r="P218" s="5">
        <v>5.0</v>
      </c>
      <c r="Q218" s="6">
        <f t="shared" si="2"/>
        <v>46062</v>
      </c>
      <c r="R218" s="24" t="s">
        <v>477</v>
      </c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22"/>
      <c r="B219" s="23" t="s">
        <v>480</v>
      </c>
      <c r="C219" s="5" t="s">
        <v>115</v>
      </c>
      <c r="D219" s="5">
        <v>2.0</v>
      </c>
      <c r="E219" s="5">
        <v>17.0</v>
      </c>
      <c r="F219" s="5">
        <f t="shared" si="1"/>
        <v>34</v>
      </c>
      <c r="G219" s="14">
        <v>1.0</v>
      </c>
      <c r="H219" s="5" t="s">
        <v>293</v>
      </c>
      <c r="I219" s="5" t="s">
        <v>117</v>
      </c>
      <c r="J219" s="5" t="s">
        <v>118</v>
      </c>
      <c r="K219" s="5">
        <v>2800.0</v>
      </c>
      <c r="L219" s="5">
        <v>1500.0</v>
      </c>
      <c r="M219" s="5">
        <v>114000.0</v>
      </c>
      <c r="N219" s="5">
        <f>M219/'Input Costs'!$B$6</f>
        <v>1244.677367</v>
      </c>
      <c r="O219" s="5">
        <v>28.0</v>
      </c>
      <c r="P219" s="5">
        <v>5.0</v>
      </c>
      <c r="Q219" s="6">
        <f t="shared" si="2"/>
        <v>46062</v>
      </c>
      <c r="R219" s="24" t="s">
        <v>481</v>
      </c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22"/>
      <c r="B220" s="23" t="s">
        <v>482</v>
      </c>
      <c r="C220" s="5" t="s">
        <v>115</v>
      </c>
      <c r="D220" s="5">
        <v>2.0</v>
      </c>
      <c r="E220" s="5">
        <v>18.0</v>
      </c>
      <c r="F220" s="5">
        <f t="shared" si="1"/>
        <v>36</v>
      </c>
      <c r="G220" s="14">
        <v>1.0</v>
      </c>
      <c r="H220" s="5" t="s">
        <v>293</v>
      </c>
      <c r="I220" s="5" t="s">
        <v>117</v>
      </c>
      <c r="J220" s="5" t="s">
        <v>118</v>
      </c>
      <c r="K220" s="5">
        <v>2800.0</v>
      </c>
      <c r="L220" s="5">
        <v>1500.0</v>
      </c>
      <c r="M220" s="5">
        <v>112000.0</v>
      </c>
      <c r="N220" s="5">
        <f>M220/'Input Costs'!$B$6</f>
        <v>1222.840921</v>
      </c>
      <c r="O220" s="5">
        <v>28.0</v>
      </c>
      <c r="P220" s="5">
        <v>5.0</v>
      </c>
      <c r="Q220" s="6">
        <f t="shared" si="2"/>
        <v>46062</v>
      </c>
      <c r="R220" s="24" t="s">
        <v>481</v>
      </c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22"/>
      <c r="B221" s="23" t="s">
        <v>483</v>
      </c>
      <c r="C221" s="5" t="s">
        <v>115</v>
      </c>
      <c r="D221" s="5">
        <v>2.0</v>
      </c>
      <c r="E221" s="5">
        <v>17.0</v>
      </c>
      <c r="F221" s="5">
        <f t="shared" si="1"/>
        <v>34</v>
      </c>
      <c r="G221" s="14">
        <v>1.0</v>
      </c>
      <c r="H221" s="5" t="s">
        <v>293</v>
      </c>
      <c r="I221" s="5" t="s">
        <v>117</v>
      </c>
      <c r="J221" s="5" t="s">
        <v>118</v>
      </c>
      <c r="K221" s="5">
        <v>2800.0</v>
      </c>
      <c r="L221" s="5">
        <v>1500.0</v>
      </c>
      <c r="M221" s="5">
        <v>116000.0</v>
      </c>
      <c r="N221" s="5">
        <f>M221/'Input Costs'!$B$6</f>
        <v>1266.513812</v>
      </c>
      <c r="O221" s="5">
        <v>28.0</v>
      </c>
      <c r="P221" s="5">
        <v>5.0</v>
      </c>
      <c r="Q221" s="6">
        <f t="shared" si="2"/>
        <v>46062</v>
      </c>
      <c r="R221" s="24" t="s">
        <v>484</v>
      </c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22"/>
      <c r="B222" s="23" t="s">
        <v>485</v>
      </c>
      <c r="C222" s="5" t="s">
        <v>115</v>
      </c>
      <c r="D222" s="5">
        <v>2.0</v>
      </c>
      <c r="E222" s="5">
        <v>18.0</v>
      </c>
      <c r="F222" s="5">
        <f t="shared" si="1"/>
        <v>36</v>
      </c>
      <c r="G222" s="14">
        <v>1.0</v>
      </c>
      <c r="H222" s="5" t="s">
        <v>293</v>
      </c>
      <c r="I222" s="5" t="s">
        <v>117</v>
      </c>
      <c r="J222" s="5" t="s">
        <v>118</v>
      </c>
      <c r="K222" s="5">
        <v>2800.0</v>
      </c>
      <c r="L222" s="5">
        <v>1500.0</v>
      </c>
      <c r="M222" s="5">
        <v>114000.0</v>
      </c>
      <c r="N222" s="5">
        <f>M222/'Input Costs'!$B$6</f>
        <v>1244.677367</v>
      </c>
      <c r="O222" s="5">
        <v>28.0</v>
      </c>
      <c r="P222" s="5">
        <v>5.0</v>
      </c>
      <c r="Q222" s="6">
        <f t="shared" si="2"/>
        <v>46062</v>
      </c>
      <c r="R222" s="24" t="s">
        <v>484</v>
      </c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22"/>
      <c r="B223" s="23" t="s">
        <v>486</v>
      </c>
      <c r="C223" s="5" t="s">
        <v>115</v>
      </c>
      <c r="D223" s="5">
        <v>2.0</v>
      </c>
      <c r="E223" s="5">
        <v>17.0</v>
      </c>
      <c r="F223" s="5">
        <f t="shared" si="1"/>
        <v>34</v>
      </c>
      <c r="G223" s="14">
        <v>1.0</v>
      </c>
      <c r="H223" s="5" t="s">
        <v>293</v>
      </c>
      <c r="I223" s="5" t="s">
        <v>117</v>
      </c>
      <c r="J223" s="5" t="s">
        <v>118</v>
      </c>
      <c r="K223" s="5">
        <v>2800.0</v>
      </c>
      <c r="L223" s="5">
        <v>1500.0</v>
      </c>
      <c r="M223" s="5">
        <v>120000.0</v>
      </c>
      <c r="N223" s="5">
        <f>M223/'Input Costs'!$B$6</f>
        <v>1310.186702</v>
      </c>
      <c r="O223" s="5">
        <v>30.0</v>
      </c>
      <c r="P223" s="5">
        <v>5.0</v>
      </c>
      <c r="Q223" s="6">
        <f t="shared" si="2"/>
        <v>46062</v>
      </c>
      <c r="R223" s="24" t="s">
        <v>487</v>
      </c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25"/>
      <c r="B224" s="23" t="s">
        <v>488</v>
      </c>
      <c r="C224" s="5" t="s">
        <v>115</v>
      </c>
      <c r="D224" s="5">
        <v>2.0</v>
      </c>
      <c r="E224" s="5">
        <v>18.0</v>
      </c>
      <c r="F224" s="5">
        <f t="shared" si="1"/>
        <v>36</v>
      </c>
      <c r="G224" s="14">
        <v>1.0</v>
      </c>
      <c r="H224" s="5" t="s">
        <v>293</v>
      </c>
      <c r="I224" s="5" t="s">
        <v>117</v>
      </c>
      <c r="J224" s="5" t="s">
        <v>118</v>
      </c>
      <c r="K224" s="5">
        <v>2800.0</v>
      </c>
      <c r="L224" s="5">
        <v>1500.0</v>
      </c>
      <c r="M224" s="5">
        <v>118000.0</v>
      </c>
      <c r="N224" s="5">
        <f>M224/'Input Costs'!$B$6</f>
        <v>1288.350257</v>
      </c>
      <c r="O224" s="5">
        <v>30.0</v>
      </c>
      <c r="P224" s="5">
        <v>5.0</v>
      </c>
      <c r="Q224" s="6">
        <f t="shared" si="2"/>
        <v>46062</v>
      </c>
      <c r="R224" s="24" t="s">
        <v>487</v>
      </c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16" t="s">
        <v>489</v>
      </c>
      <c r="B225" s="23" t="s">
        <v>490</v>
      </c>
      <c r="C225" s="5" t="s">
        <v>115</v>
      </c>
      <c r="D225" s="5">
        <v>3.0</v>
      </c>
      <c r="E225" s="5">
        <v>12.0</v>
      </c>
      <c r="F225" s="5">
        <f t="shared" si="1"/>
        <v>36</v>
      </c>
      <c r="G225" s="14">
        <v>1.0</v>
      </c>
      <c r="H225" s="5" t="s">
        <v>293</v>
      </c>
      <c r="I225" s="5" t="s">
        <v>117</v>
      </c>
      <c r="J225" s="5" t="s">
        <v>118</v>
      </c>
      <c r="K225" s="5">
        <v>2800.0</v>
      </c>
      <c r="L225" s="5">
        <v>1500.0</v>
      </c>
      <c r="M225" s="5">
        <v>128000.0</v>
      </c>
      <c r="N225" s="5">
        <f>M225/'Input Costs'!$B$6</f>
        <v>1397.532482</v>
      </c>
      <c r="O225" s="5">
        <v>28.0</v>
      </c>
      <c r="P225" s="5">
        <v>5.0</v>
      </c>
      <c r="Q225" s="6">
        <f t="shared" si="2"/>
        <v>46062</v>
      </c>
      <c r="R225" s="24" t="s">
        <v>491</v>
      </c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22"/>
      <c r="B226" s="23" t="s">
        <v>492</v>
      </c>
      <c r="C226" s="5" t="s">
        <v>115</v>
      </c>
      <c r="D226" s="5">
        <v>3.0</v>
      </c>
      <c r="E226" s="5">
        <v>13.0</v>
      </c>
      <c r="F226" s="5">
        <f t="shared" si="1"/>
        <v>39</v>
      </c>
      <c r="G226" s="14">
        <v>1.0</v>
      </c>
      <c r="H226" s="5" t="s">
        <v>293</v>
      </c>
      <c r="I226" s="5" t="s">
        <v>117</v>
      </c>
      <c r="J226" s="5" t="s">
        <v>118</v>
      </c>
      <c r="K226" s="5">
        <v>2800.0</v>
      </c>
      <c r="L226" s="5">
        <v>1500.0</v>
      </c>
      <c r="M226" s="5">
        <v>125000.0</v>
      </c>
      <c r="N226" s="5">
        <f>M226/'Input Costs'!$B$6</f>
        <v>1364.777814</v>
      </c>
      <c r="O226" s="5">
        <v>28.0</v>
      </c>
      <c r="P226" s="5">
        <v>5.0</v>
      </c>
      <c r="Q226" s="6">
        <f t="shared" si="2"/>
        <v>46062</v>
      </c>
      <c r="R226" s="24" t="s">
        <v>493</v>
      </c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22"/>
      <c r="B227" s="23" t="s">
        <v>494</v>
      </c>
      <c r="C227" s="5" t="s">
        <v>115</v>
      </c>
      <c r="D227" s="5">
        <v>3.0</v>
      </c>
      <c r="E227" s="5">
        <v>14.0</v>
      </c>
      <c r="F227" s="5">
        <f t="shared" si="1"/>
        <v>42</v>
      </c>
      <c r="G227" s="14">
        <v>1.0</v>
      </c>
      <c r="H227" s="5" t="s">
        <v>293</v>
      </c>
      <c r="I227" s="5" t="s">
        <v>117</v>
      </c>
      <c r="J227" s="5" t="s">
        <v>118</v>
      </c>
      <c r="K227" s="5">
        <v>2800.0</v>
      </c>
      <c r="L227" s="5">
        <v>1500.0</v>
      </c>
      <c r="M227" s="5">
        <v>122000.0</v>
      </c>
      <c r="N227" s="5">
        <f>M227/'Input Costs'!$B$6</f>
        <v>1332.023147</v>
      </c>
      <c r="O227" s="5">
        <v>28.0</v>
      </c>
      <c r="P227" s="5">
        <v>5.0</v>
      </c>
      <c r="Q227" s="6">
        <f t="shared" si="2"/>
        <v>46062</v>
      </c>
      <c r="R227" s="24" t="s">
        <v>495</v>
      </c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22"/>
      <c r="B228" s="23" t="s">
        <v>496</v>
      </c>
      <c r="C228" s="5" t="s">
        <v>115</v>
      </c>
      <c r="D228" s="5">
        <v>3.0</v>
      </c>
      <c r="E228" s="5">
        <v>15.0</v>
      </c>
      <c r="F228" s="5">
        <f t="shared" si="1"/>
        <v>45</v>
      </c>
      <c r="G228" s="14">
        <v>1.0</v>
      </c>
      <c r="H228" s="5" t="s">
        <v>293</v>
      </c>
      <c r="I228" s="5" t="s">
        <v>117</v>
      </c>
      <c r="J228" s="5" t="s">
        <v>118</v>
      </c>
      <c r="K228" s="5">
        <v>2800.0</v>
      </c>
      <c r="L228" s="5">
        <v>1500.0</v>
      </c>
      <c r="M228" s="5">
        <v>119000.0</v>
      </c>
      <c r="N228" s="5">
        <f>M228/'Input Costs'!$B$6</f>
        <v>1299.268479</v>
      </c>
      <c r="O228" s="5">
        <v>28.0</v>
      </c>
      <c r="P228" s="5">
        <v>5.0</v>
      </c>
      <c r="Q228" s="6">
        <f t="shared" si="2"/>
        <v>46062</v>
      </c>
      <c r="R228" s="24" t="s">
        <v>497</v>
      </c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22"/>
      <c r="B229" s="23" t="s">
        <v>498</v>
      </c>
      <c r="C229" s="5" t="s">
        <v>115</v>
      </c>
      <c r="D229" s="5">
        <v>3.0</v>
      </c>
      <c r="E229" s="5">
        <v>16.0</v>
      </c>
      <c r="F229" s="5">
        <f t="shared" si="1"/>
        <v>48</v>
      </c>
      <c r="G229" s="14">
        <v>1.0</v>
      </c>
      <c r="H229" s="5" t="s">
        <v>293</v>
      </c>
      <c r="I229" s="5" t="s">
        <v>117</v>
      </c>
      <c r="J229" s="5" t="s">
        <v>118</v>
      </c>
      <c r="K229" s="5">
        <v>2800.0</v>
      </c>
      <c r="L229" s="5">
        <v>1500.0</v>
      </c>
      <c r="M229" s="5">
        <v>117000.0</v>
      </c>
      <c r="N229" s="5">
        <f>M229/'Input Costs'!$B$6</f>
        <v>1277.432034</v>
      </c>
      <c r="O229" s="5">
        <v>28.0</v>
      </c>
      <c r="P229" s="5">
        <v>5.0</v>
      </c>
      <c r="Q229" s="6">
        <f t="shared" si="2"/>
        <v>46062</v>
      </c>
      <c r="R229" s="24" t="s">
        <v>499</v>
      </c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22"/>
      <c r="B230" s="23" t="s">
        <v>500</v>
      </c>
      <c r="C230" s="5" t="s">
        <v>115</v>
      </c>
      <c r="D230" s="5">
        <v>3.0</v>
      </c>
      <c r="E230" s="5">
        <v>17.0</v>
      </c>
      <c r="F230" s="5">
        <f t="shared" si="1"/>
        <v>51</v>
      </c>
      <c r="G230" s="14">
        <v>1.0</v>
      </c>
      <c r="H230" s="5" t="s">
        <v>293</v>
      </c>
      <c r="I230" s="5" t="s">
        <v>117</v>
      </c>
      <c r="J230" s="5" t="s">
        <v>118</v>
      </c>
      <c r="K230" s="5">
        <v>2800.0</v>
      </c>
      <c r="L230" s="5">
        <v>1500.0</v>
      </c>
      <c r="M230" s="5">
        <v>115000.0</v>
      </c>
      <c r="N230" s="5">
        <f>M230/'Input Costs'!$B$6</f>
        <v>1255.595589</v>
      </c>
      <c r="O230" s="5">
        <v>28.0</v>
      </c>
      <c r="P230" s="5">
        <v>5.0</v>
      </c>
      <c r="Q230" s="6">
        <f t="shared" si="2"/>
        <v>46062</v>
      </c>
      <c r="R230" s="24" t="s">
        <v>501</v>
      </c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22"/>
      <c r="B231" s="23" t="s">
        <v>502</v>
      </c>
      <c r="C231" s="5" t="s">
        <v>115</v>
      </c>
      <c r="D231" s="5">
        <v>3.0</v>
      </c>
      <c r="E231" s="5">
        <v>18.0</v>
      </c>
      <c r="F231" s="5">
        <f t="shared" si="1"/>
        <v>54</v>
      </c>
      <c r="G231" s="14">
        <v>1.0</v>
      </c>
      <c r="H231" s="5" t="s">
        <v>293</v>
      </c>
      <c r="I231" s="5" t="s">
        <v>117</v>
      </c>
      <c r="J231" s="5" t="s">
        <v>118</v>
      </c>
      <c r="K231" s="5">
        <v>2800.0</v>
      </c>
      <c r="L231" s="5">
        <v>1500.0</v>
      </c>
      <c r="M231" s="5">
        <v>113000.0</v>
      </c>
      <c r="N231" s="5">
        <f>M231/'Input Costs'!$B$6</f>
        <v>1233.759144</v>
      </c>
      <c r="O231" s="5">
        <v>28.0</v>
      </c>
      <c r="P231" s="5">
        <v>5.0</v>
      </c>
      <c r="Q231" s="6">
        <f t="shared" si="2"/>
        <v>46062</v>
      </c>
      <c r="R231" s="24" t="s">
        <v>503</v>
      </c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22"/>
      <c r="B232" s="23" t="s">
        <v>504</v>
      </c>
      <c r="C232" s="5" t="s">
        <v>115</v>
      </c>
      <c r="D232" s="5">
        <v>3.0</v>
      </c>
      <c r="E232" s="5">
        <v>19.0</v>
      </c>
      <c r="F232" s="5">
        <f t="shared" si="1"/>
        <v>57</v>
      </c>
      <c r="G232" s="14">
        <v>1.0</v>
      </c>
      <c r="H232" s="5" t="s">
        <v>293</v>
      </c>
      <c r="I232" s="5" t="s">
        <v>117</v>
      </c>
      <c r="J232" s="5" t="s">
        <v>118</v>
      </c>
      <c r="K232" s="5">
        <v>2800.0</v>
      </c>
      <c r="L232" s="5">
        <v>1500.0</v>
      </c>
      <c r="M232" s="5">
        <v>111000.0</v>
      </c>
      <c r="N232" s="5">
        <f>M232/'Input Costs'!$B$6</f>
        <v>1211.922699</v>
      </c>
      <c r="O232" s="5">
        <v>28.0</v>
      </c>
      <c r="P232" s="5">
        <v>5.0</v>
      </c>
      <c r="Q232" s="6">
        <f t="shared" si="2"/>
        <v>46062</v>
      </c>
      <c r="R232" s="24" t="s">
        <v>505</v>
      </c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22"/>
      <c r="B233" s="23" t="s">
        <v>506</v>
      </c>
      <c r="C233" s="5" t="s">
        <v>115</v>
      </c>
      <c r="D233" s="5">
        <v>3.0</v>
      </c>
      <c r="E233" s="5">
        <v>20.0</v>
      </c>
      <c r="F233" s="5">
        <f t="shared" si="1"/>
        <v>60</v>
      </c>
      <c r="G233" s="14">
        <v>1.0</v>
      </c>
      <c r="H233" s="5" t="s">
        <v>293</v>
      </c>
      <c r="I233" s="5" t="s">
        <v>117</v>
      </c>
      <c r="J233" s="5" t="s">
        <v>118</v>
      </c>
      <c r="K233" s="5">
        <v>2800.0</v>
      </c>
      <c r="L233" s="5">
        <v>1500.0</v>
      </c>
      <c r="M233" s="5">
        <v>110000.0</v>
      </c>
      <c r="N233" s="5">
        <f>M233/'Input Costs'!$B$6</f>
        <v>1201.004476</v>
      </c>
      <c r="O233" s="5">
        <v>28.0</v>
      </c>
      <c r="P233" s="5">
        <v>5.0</v>
      </c>
      <c r="Q233" s="6">
        <f t="shared" si="2"/>
        <v>46062</v>
      </c>
      <c r="R233" s="24" t="s">
        <v>507</v>
      </c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25"/>
      <c r="B234" s="23" t="s">
        <v>508</v>
      </c>
      <c r="C234" s="5" t="s">
        <v>115</v>
      </c>
      <c r="D234" s="5">
        <v>3.0</v>
      </c>
      <c r="E234" s="5">
        <v>22.0</v>
      </c>
      <c r="F234" s="5">
        <f t="shared" si="1"/>
        <v>66</v>
      </c>
      <c r="G234" s="14">
        <v>1.0</v>
      </c>
      <c r="H234" s="5" t="s">
        <v>293</v>
      </c>
      <c r="I234" s="5" t="s">
        <v>117</v>
      </c>
      <c r="J234" s="5" t="s">
        <v>118</v>
      </c>
      <c r="K234" s="5">
        <v>2800.0</v>
      </c>
      <c r="L234" s="5">
        <v>1500.0</v>
      </c>
      <c r="M234" s="5">
        <v>108000.0</v>
      </c>
      <c r="N234" s="5">
        <f>M234/'Input Costs'!$B$6</f>
        <v>1179.168031</v>
      </c>
      <c r="O234" s="5">
        <v>28.0</v>
      </c>
      <c r="P234" s="5">
        <v>5.0</v>
      </c>
      <c r="Q234" s="6">
        <f t="shared" si="2"/>
        <v>46062</v>
      </c>
      <c r="R234" s="24" t="s">
        <v>509</v>
      </c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16" t="s">
        <v>510</v>
      </c>
      <c r="B235" s="23" t="s">
        <v>511</v>
      </c>
      <c r="C235" s="5" t="s">
        <v>115</v>
      </c>
      <c r="D235" s="5">
        <v>3.0</v>
      </c>
      <c r="E235" s="5">
        <v>12.0</v>
      </c>
      <c r="F235" s="5">
        <f t="shared" si="1"/>
        <v>36</v>
      </c>
      <c r="G235" s="14">
        <v>1.0</v>
      </c>
      <c r="H235" s="5" t="s">
        <v>293</v>
      </c>
      <c r="I235" s="5" t="s">
        <v>117</v>
      </c>
      <c r="J235" s="5" t="s">
        <v>150</v>
      </c>
      <c r="K235" s="5">
        <v>2800.0</v>
      </c>
      <c r="L235" s="5">
        <v>1500.0</v>
      </c>
      <c r="M235" s="5">
        <v>142000.0</v>
      </c>
      <c r="N235" s="5">
        <f>M235/'Input Costs'!$B$6</f>
        <v>1550.387597</v>
      </c>
      <c r="O235" s="5">
        <v>30.0</v>
      </c>
      <c r="P235" s="5">
        <v>5.0</v>
      </c>
      <c r="Q235" s="6">
        <f t="shared" si="2"/>
        <v>46062</v>
      </c>
      <c r="R235" s="24" t="s">
        <v>512</v>
      </c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22"/>
      <c r="B236" s="23" t="s">
        <v>513</v>
      </c>
      <c r="C236" s="5" t="s">
        <v>115</v>
      </c>
      <c r="D236" s="5">
        <v>3.0</v>
      </c>
      <c r="E236" s="5">
        <v>13.0</v>
      </c>
      <c r="F236" s="5">
        <f t="shared" si="1"/>
        <v>39</v>
      </c>
      <c r="G236" s="14">
        <v>1.0</v>
      </c>
      <c r="H236" s="5" t="s">
        <v>293</v>
      </c>
      <c r="I236" s="5" t="s">
        <v>117</v>
      </c>
      <c r="J236" s="5" t="s">
        <v>150</v>
      </c>
      <c r="K236" s="5">
        <v>2800.0</v>
      </c>
      <c r="L236" s="5">
        <v>1500.0</v>
      </c>
      <c r="M236" s="5">
        <v>139000.0</v>
      </c>
      <c r="N236" s="5">
        <f>M236/'Input Costs'!$B$6</f>
        <v>1517.632929</v>
      </c>
      <c r="O236" s="5">
        <v>30.0</v>
      </c>
      <c r="P236" s="5">
        <v>5.0</v>
      </c>
      <c r="Q236" s="6">
        <f t="shared" si="2"/>
        <v>46062</v>
      </c>
      <c r="R236" s="24" t="s">
        <v>497</v>
      </c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22"/>
      <c r="B237" s="23" t="s">
        <v>514</v>
      </c>
      <c r="C237" s="5" t="s">
        <v>115</v>
      </c>
      <c r="D237" s="5">
        <v>3.0</v>
      </c>
      <c r="E237" s="5">
        <v>14.0</v>
      </c>
      <c r="F237" s="5">
        <f t="shared" si="1"/>
        <v>42</v>
      </c>
      <c r="G237" s="14">
        <v>1.0</v>
      </c>
      <c r="H237" s="5" t="s">
        <v>293</v>
      </c>
      <c r="I237" s="5" t="s">
        <v>117</v>
      </c>
      <c r="J237" s="5" t="s">
        <v>150</v>
      </c>
      <c r="K237" s="5">
        <v>2800.0</v>
      </c>
      <c r="L237" s="5">
        <v>1500.0</v>
      </c>
      <c r="M237" s="5">
        <v>136000.0</v>
      </c>
      <c r="N237" s="5">
        <f>M237/'Input Costs'!$B$6</f>
        <v>1484.878262</v>
      </c>
      <c r="O237" s="5">
        <v>30.0</v>
      </c>
      <c r="P237" s="5">
        <v>5.0</v>
      </c>
      <c r="Q237" s="6">
        <f t="shared" si="2"/>
        <v>46062</v>
      </c>
      <c r="R237" s="24" t="s">
        <v>497</v>
      </c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22"/>
      <c r="B238" s="23" t="s">
        <v>515</v>
      </c>
      <c r="C238" s="5" t="s">
        <v>115</v>
      </c>
      <c r="D238" s="5">
        <v>3.0</v>
      </c>
      <c r="E238" s="5">
        <v>15.0</v>
      </c>
      <c r="F238" s="5">
        <f t="shared" si="1"/>
        <v>45</v>
      </c>
      <c r="G238" s="14">
        <v>1.0</v>
      </c>
      <c r="H238" s="5" t="s">
        <v>293</v>
      </c>
      <c r="I238" s="5" t="s">
        <v>117</v>
      </c>
      <c r="J238" s="5" t="s">
        <v>150</v>
      </c>
      <c r="K238" s="5">
        <v>2800.0</v>
      </c>
      <c r="L238" s="5">
        <v>1500.0</v>
      </c>
      <c r="M238" s="5">
        <v>133000.0</v>
      </c>
      <c r="N238" s="5">
        <f>M238/'Input Costs'!$B$6</f>
        <v>1452.123594</v>
      </c>
      <c r="O238" s="5">
        <v>30.0</v>
      </c>
      <c r="P238" s="5">
        <v>5.0</v>
      </c>
      <c r="Q238" s="6">
        <f t="shared" si="2"/>
        <v>46062</v>
      </c>
      <c r="R238" s="24" t="s">
        <v>516</v>
      </c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22"/>
      <c r="B239" s="23" t="s">
        <v>517</v>
      </c>
      <c r="C239" s="5" t="s">
        <v>115</v>
      </c>
      <c r="D239" s="5">
        <v>3.0</v>
      </c>
      <c r="E239" s="5">
        <v>16.0</v>
      </c>
      <c r="F239" s="5">
        <f t="shared" si="1"/>
        <v>48</v>
      </c>
      <c r="G239" s="14">
        <v>1.0</v>
      </c>
      <c r="H239" s="5" t="s">
        <v>293</v>
      </c>
      <c r="I239" s="5" t="s">
        <v>117</v>
      </c>
      <c r="J239" s="5" t="s">
        <v>150</v>
      </c>
      <c r="K239" s="5">
        <v>2800.0</v>
      </c>
      <c r="L239" s="5">
        <v>1500.0</v>
      </c>
      <c r="M239" s="5">
        <v>131000.0</v>
      </c>
      <c r="N239" s="5">
        <f>M239/'Input Costs'!$B$6</f>
        <v>1430.287149</v>
      </c>
      <c r="O239" s="5">
        <v>30.0</v>
      </c>
      <c r="P239" s="5">
        <v>5.0</v>
      </c>
      <c r="Q239" s="6">
        <f t="shared" si="2"/>
        <v>46062</v>
      </c>
      <c r="R239" s="24" t="s">
        <v>516</v>
      </c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22"/>
      <c r="B240" s="23" t="s">
        <v>518</v>
      </c>
      <c r="C240" s="5" t="s">
        <v>115</v>
      </c>
      <c r="D240" s="5">
        <v>3.0</v>
      </c>
      <c r="E240" s="5">
        <v>17.0</v>
      </c>
      <c r="F240" s="5">
        <f t="shared" si="1"/>
        <v>51</v>
      </c>
      <c r="G240" s="14">
        <v>1.0</v>
      </c>
      <c r="H240" s="5" t="s">
        <v>293</v>
      </c>
      <c r="I240" s="5" t="s">
        <v>117</v>
      </c>
      <c r="J240" s="5" t="s">
        <v>150</v>
      </c>
      <c r="K240" s="5">
        <v>2800.0</v>
      </c>
      <c r="L240" s="5">
        <v>1500.0</v>
      </c>
      <c r="M240" s="5">
        <v>129000.0</v>
      </c>
      <c r="N240" s="5">
        <f>M240/'Input Costs'!$B$6</f>
        <v>1408.450704</v>
      </c>
      <c r="O240" s="5">
        <v>30.0</v>
      </c>
      <c r="P240" s="5">
        <v>5.0</v>
      </c>
      <c r="Q240" s="6">
        <f t="shared" si="2"/>
        <v>46062</v>
      </c>
      <c r="R240" s="24" t="s">
        <v>519</v>
      </c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22"/>
      <c r="B241" s="23" t="s">
        <v>520</v>
      </c>
      <c r="C241" s="5" t="s">
        <v>115</v>
      </c>
      <c r="D241" s="5">
        <v>3.0</v>
      </c>
      <c r="E241" s="5">
        <v>18.0</v>
      </c>
      <c r="F241" s="5">
        <f t="shared" si="1"/>
        <v>54</v>
      </c>
      <c r="G241" s="14">
        <v>1.0</v>
      </c>
      <c r="H241" s="5" t="s">
        <v>293</v>
      </c>
      <c r="I241" s="5" t="s">
        <v>117</v>
      </c>
      <c r="J241" s="5" t="s">
        <v>150</v>
      </c>
      <c r="K241" s="5">
        <v>2800.0</v>
      </c>
      <c r="L241" s="5">
        <v>1500.0</v>
      </c>
      <c r="M241" s="5">
        <v>127000.0</v>
      </c>
      <c r="N241" s="5">
        <f>M241/'Input Costs'!$B$6</f>
        <v>1386.614259</v>
      </c>
      <c r="O241" s="5">
        <v>30.0</v>
      </c>
      <c r="P241" s="5">
        <v>5.0</v>
      </c>
      <c r="Q241" s="6">
        <f t="shared" si="2"/>
        <v>46062</v>
      </c>
      <c r="R241" s="24" t="s">
        <v>521</v>
      </c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25"/>
      <c r="B242" s="23" t="s">
        <v>522</v>
      </c>
      <c r="C242" s="5" t="s">
        <v>115</v>
      </c>
      <c r="D242" s="5">
        <v>3.0</v>
      </c>
      <c r="E242" s="5">
        <v>20.0</v>
      </c>
      <c r="F242" s="5">
        <f t="shared" si="1"/>
        <v>60</v>
      </c>
      <c r="G242" s="14">
        <v>1.0</v>
      </c>
      <c r="H242" s="5" t="s">
        <v>293</v>
      </c>
      <c r="I242" s="5" t="s">
        <v>117</v>
      </c>
      <c r="J242" s="5" t="s">
        <v>150</v>
      </c>
      <c r="K242" s="5">
        <v>2800.0</v>
      </c>
      <c r="L242" s="5">
        <v>1500.0</v>
      </c>
      <c r="M242" s="5">
        <v>124000.0</v>
      </c>
      <c r="N242" s="5">
        <f>M242/'Input Costs'!$B$6</f>
        <v>1353.859592</v>
      </c>
      <c r="O242" s="5">
        <v>30.0</v>
      </c>
      <c r="P242" s="5">
        <v>5.0</v>
      </c>
      <c r="Q242" s="6">
        <f t="shared" si="2"/>
        <v>46062</v>
      </c>
      <c r="R242" s="24" t="s">
        <v>523</v>
      </c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16" t="s">
        <v>524</v>
      </c>
      <c r="B243" s="23" t="s">
        <v>525</v>
      </c>
      <c r="C243" s="5" t="s">
        <v>115</v>
      </c>
      <c r="D243" s="5">
        <v>3.0</v>
      </c>
      <c r="E243" s="5">
        <v>12.0</v>
      </c>
      <c r="F243" s="5">
        <f t="shared" si="1"/>
        <v>36</v>
      </c>
      <c r="G243" s="14">
        <v>1.0</v>
      </c>
      <c r="H243" s="5" t="s">
        <v>293</v>
      </c>
      <c r="I243" s="5" t="s">
        <v>117</v>
      </c>
      <c r="J243" s="5" t="s">
        <v>339</v>
      </c>
      <c r="K243" s="5">
        <v>2800.0</v>
      </c>
      <c r="L243" s="5">
        <v>1500.0</v>
      </c>
      <c r="M243" s="5">
        <v>158000.0</v>
      </c>
      <c r="N243" s="5">
        <f>M243/'Input Costs'!$B$6</f>
        <v>1725.079157</v>
      </c>
      <c r="O243" s="5">
        <v>35.0</v>
      </c>
      <c r="P243" s="5">
        <v>5.0</v>
      </c>
      <c r="Q243" s="6">
        <f t="shared" si="2"/>
        <v>46062</v>
      </c>
      <c r="R243" s="24" t="s">
        <v>526</v>
      </c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22"/>
      <c r="B244" s="23" t="s">
        <v>527</v>
      </c>
      <c r="C244" s="5" t="s">
        <v>115</v>
      </c>
      <c r="D244" s="5">
        <v>3.0</v>
      </c>
      <c r="E244" s="5">
        <v>13.0</v>
      </c>
      <c r="F244" s="5">
        <f t="shared" si="1"/>
        <v>39</v>
      </c>
      <c r="G244" s="14">
        <v>1.0</v>
      </c>
      <c r="H244" s="5" t="s">
        <v>293</v>
      </c>
      <c r="I244" s="5" t="s">
        <v>117</v>
      </c>
      <c r="J244" s="5" t="s">
        <v>339</v>
      </c>
      <c r="K244" s="5">
        <v>2800.0</v>
      </c>
      <c r="L244" s="5">
        <v>1500.0</v>
      </c>
      <c r="M244" s="5">
        <v>155000.0</v>
      </c>
      <c r="N244" s="5">
        <f>M244/'Input Costs'!$B$6</f>
        <v>1692.32449</v>
      </c>
      <c r="O244" s="5">
        <v>35.0</v>
      </c>
      <c r="P244" s="5">
        <v>5.0</v>
      </c>
      <c r="Q244" s="6">
        <f t="shared" si="2"/>
        <v>46062</v>
      </c>
      <c r="R244" s="24" t="s">
        <v>526</v>
      </c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22"/>
      <c r="B245" s="23" t="s">
        <v>528</v>
      </c>
      <c r="C245" s="5" t="s">
        <v>115</v>
      </c>
      <c r="D245" s="5">
        <v>3.0</v>
      </c>
      <c r="E245" s="5">
        <v>14.0</v>
      </c>
      <c r="F245" s="5">
        <f t="shared" si="1"/>
        <v>42</v>
      </c>
      <c r="G245" s="14">
        <v>1.0</v>
      </c>
      <c r="H245" s="5" t="s">
        <v>293</v>
      </c>
      <c r="I245" s="5" t="s">
        <v>117</v>
      </c>
      <c r="J245" s="5" t="s">
        <v>339</v>
      </c>
      <c r="K245" s="5">
        <v>2800.0</v>
      </c>
      <c r="L245" s="5">
        <v>1500.0</v>
      </c>
      <c r="M245" s="5">
        <v>152000.0</v>
      </c>
      <c r="N245" s="5">
        <f>M245/'Input Costs'!$B$6</f>
        <v>1659.569822</v>
      </c>
      <c r="O245" s="5">
        <v>35.0</v>
      </c>
      <c r="P245" s="5">
        <v>5.0</v>
      </c>
      <c r="Q245" s="6">
        <f t="shared" si="2"/>
        <v>46062</v>
      </c>
      <c r="R245" s="24" t="s">
        <v>526</v>
      </c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22"/>
      <c r="B246" s="23" t="s">
        <v>529</v>
      </c>
      <c r="C246" s="5" t="s">
        <v>115</v>
      </c>
      <c r="D246" s="5">
        <v>3.0</v>
      </c>
      <c r="E246" s="5">
        <v>15.0</v>
      </c>
      <c r="F246" s="5">
        <f t="shared" si="1"/>
        <v>45</v>
      </c>
      <c r="G246" s="14">
        <v>1.0</v>
      </c>
      <c r="H246" s="5" t="s">
        <v>293</v>
      </c>
      <c r="I246" s="5" t="s">
        <v>117</v>
      </c>
      <c r="J246" s="5" t="s">
        <v>339</v>
      </c>
      <c r="K246" s="5">
        <v>2800.0</v>
      </c>
      <c r="L246" s="5">
        <v>1500.0</v>
      </c>
      <c r="M246" s="5">
        <v>149000.0</v>
      </c>
      <c r="N246" s="5">
        <f>M246/'Input Costs'!$B$6</f>
        <v>1626.815154</v>
      </c>
      <c r="O246" s="5">
        <v>35.0</v>
      </c>
      <c r="P246" s="5">
        <v>5.0</v>
      </c>
      <c r="Q246" s="6">
        <f t="shared" si="2"/>
        <v>46062</v>
      </c>
      <c r="R246" s="24" t="s">
        <v>530</v>
      </c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22"/>
      <c r="B247" s="23" t="s">
        <v>531</v>
      </c>
      <c r="C247" s="5" t="s">
        <v>115</v>
      </c>
      <c r="D247" s="5">
        <v>3.0</v>
      </c>
      <c r="E247" s="5">
        <v>16.0</v>
      </c>
      <c r="F247" s="5">
        <f t="shared" si="1"/>
        <v>48</v>
      </c>
      <c r="G247" s="14">
        <v>1.0</v>
      </c>
      <c r="H247" s="5" t="s">
        <v>293</v>
      </c>
      <c r="I247" s="5" t="s">
        <v>117</v>
      </c>
      <c r="J247" s="5" t="s">
        <v>339</v>
      </c>
      <c r="K247" s="5">
        <v>2800.0</v>
      </c>
      <c r="L247" s="5">
        <v>1500.0</v>
      </c>
      <c r="M247" s="5">
        <v>146000.0</v>
      </c>
      <c r="N247" s="5">
        <f>M247/'Input Costs'!$B$6</f>
        <v>1594.060487</v>
      </c>
      <c r="O247" s="5">
        <v>35.0</v>
      </c>
      <c r="P247" s="5">
        <v>5.0</v>
      </c>
      <c r="Q247" s="6">
        <f t="shared" si="2"/>
        <v>46062</v>
      </c>
      <c r="R247" s="24" t="s">
        <v>530</v>
      </c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22"/>
      <c r="B248" s="23" t="s">
        <v>532</v>
      </c>
      <c r="C248" s="5" t="s">
        <v>115</v>
      </c>
      <c r="D248" s="5">
        <v>3.0</v>
      </c>
      <c r="E248" s="5">
        <v>17.0</v>
      </c>
      <c r="F248" s="5">
        <f t="shared" si="1"/>
        <v>51</v>
      </c>
      <c r="G248" s="14">
        <v>1.0</v>
      </c>
      <c r="H248" s="5" t="s">
        <v>293</v>
      </c>
      <c r="I248" s="5" t="s">
        <v>117</v>
      </c>
      <c r="J248" s="5" t="s">
        <v>339</v>
      </c>
      <c r="K248" s="5">
        <v>2800.0</v>
      </c>
      <c r="L248" s="5">
        <v>1500.0</v>
      </c>
      <c r="M248" s="5">
        <v>143000.0</v>
      </c>
      <c r="N248" s="5">
        <f>M248/'Input Costs'!$B$6</f>
        <v>1561.305819</v>
      </c>
      <c r="O248" s="5">
        <v>35.0</v>
      </c>
      <c r="P248" s="5">
        <v>5.0</v>
      </c>
      <c r="Q248" s="6">
        <f t="shared" si="2"/>
        <v>46062</v>
      </c>
      <c r="R248" s="24" t="s">
        <v>519</v>
      </c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25"/>
      <c r="B249" s="23" t="s">
        <v>533</v>
      </c>
      <c r="C249" s="5" t="s">
        <v>115</v>
      </c>
      <c r="D249" s="5">
        <v>3.0</v>
      </c>
      <c r="E249" s="5">
        <v>18.0</v>
      </c>
      <c r="F249" s="5">
        <f t="shared" si="1"/>
        <v>54</v>
      </c>
      <c r="G249" s="14">
        <v>1.0</v>
      </c>
      <c r="H249" s="5" t="s">
        <v>293</v>
      </c>
      <c r="I249" s="5" t="s">
        <v>117</v>
      </c>
      <c r="J249" s="5" t="s">
        <v>339</v>
      </c>
      <c r="K249" s="5">
        <v>2800.0</v>
      </c>
      <c r="L249" s="5">
        <v>1500.0</v>
      </c>
      <c r="M249" s="5">
        <v>140000.0</v>
      </c>
      <c r="N249" s="5">
        <f>M249/'Input Costs'!$B$6</f>
        <v>1528.551152</v>
      </c>
      <c r="O249" s="5">
        <v>35.0</v>
      </c>
      <c r="P249" s="5">
        <v>5.0</v>
      </c>
      <c r="Q249" s="6">
        <f t="shared" si="2"/>
        <v>46062</v>
      </c>
      <c r="R249" s="24" t="s">
        <v>534</v>
      </c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16" t="s">
        <v>535</v>
      </c>
      <c r="B250" s="23" t="s">
        <v>536</v>
      </c>
      <c r="C250" s="5" t="s">
        <v>115</v>
      </c>
      <c r="D250" s="5">
        <v>3.0</v>
      </c>
      <c r="E250" s="5">
        <v>14.0</v>
      </c>
      <c r="F250" s="5">
        <f t="shared" si="1"/>
        <v>42</v>
      </c>
      <c r="G250" s="14">
        <v>1.0</v>
      </c>
      <c r="H250" s="5" t="s">
        <v>293</v>
      </c>
      <c r="I250" s="5" t="s">
        <v>117</v>
      </c>
      <c r="J250" s="5" t="s">
        <v>165</v>
      </c>
      <c r="K250" s="5">
        <v>2800.0</v>
      </c>
      <c r="L250" s="5">
        <v>1500.0</v>
      </c>
      <c r="M250" s="5">
        <v>115000.0</v>
      </c>
      <c r="N250" s="5">
        <f>M250/'Input Costs'!$B$6</f>
        <v>1255.595589</v>
      </c>
      <c r="O250" s="5">
        <v>25.0</v>
      </c>
      <c r="P250" s="5">
        <v>10.0</v>
      </c>
      <c r="Q250" s="6">
        <f t="shared" si="2"/>
        <v>46062</v>
      </c>
      <c r="R250" s="24" t="s">
        <v>537</v>
      </c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22"/>
      <c r="B251" s="23" t="s">
        <v>538</v>
      </c>
      <c r="C251" s="5" t="s">
        <v>115</v>
      </c>
      <c r="D251" s="5">
        <v>3.0</v>
      </c>
      <c r="E251" s="5">
        <v>15.0</v>
      </c>
      <c r="F251" s="5">
        <f t="shared" si="1"/>
        <v>45</v>
      </c>
      <c r="G251" s="14">
        <v>1.0</v>
      </c>
      <c r="H251" s="5" t="s">
        <v>293</v>
      </c>
      <c r="I251" s="5" t="s">
        <v>117</v>
      </c>
      <c r="J251" s="5" t="s">
        <v>165</v>
      </c>
      <c r="K251" s="5">
        <v>2800.0</v>
      </c>
      <c r="L251" s="5">
        <v>1500.0</v>
      </c>
      <c r="M251" s="5">
        <v>112000.0</v>
      </c>
      <c r="N251" s="5">
        <f>M251/'Input Costs'!$B$6</f>
        <v>1222.840921</v>
      </c>
      <c r="O251" s="5">
        <v>25.0</v>
      </c>
      <c r="P251" s="5">
        <v>10.0</v>
      </c>
      <c r="Q251" s="6">
        <f t="shared" si="2"/>
        <v>46062</v>
      </c>
      <c r="R251" s="24" t="s">
        <v>539</v>
      </c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22"/>
      <c r="B252" s="23" t="s">
        <v>540</v>
      </c>
      <c r="C252" s="5" t="s">
        <v>115</v>
      </c>
      <c r="D252" s="5">
        <v>3.0</v>
      </c>
      <c r="E252" s="5">
        <v>16.0</v>
      </c>
      <c r="F252" s="5">
        <f t="shared" si="1"/>
        <v>48</v>
      </c>
      <c r="G252" s="14">
        <v>1.0</v>
      </c>
      <c r="H252" s="5" t="s">
        <v>293</v>
      </c>
      <c r="I252" s="5" t="s">
        <v>117</v>
      </c>
      <c r="J252" s="5" t="s">
        <v>165</v>
      </c>
      <c r="K252" s="5">
        <v>2800.0</v>
      </c>
      <c r="L252" s="5">
        <v>1500.0</v>
      </c>
      <c r="M252" s="5">
        <v>110000.0</v>
      </c>
      <c r="N252" s="5">
        <f>M252/'Input Costs'!$B$6</f>
        <v>1201.004476</v>
      </c>
      <c r="O252" s="5">
        <v>25.0</v>
      </c>
      <c r="P252" s="5">
        <v>10.0</v>
      </c>
      <c r="Q252" s="6">
        <f t="shared" si="2"/>
        <v>46062</v>
      </c>
      <c r="R252" s="24" t="s">
        <v>539</v>
      </c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22"/>
      <c r="B253" s="23" t="s">
        <v>541</v>
      </c>
      <c r="C253" s="5" t="s">
        <v>115</v>
      </c>
      <c r="D253" s="5">
        <v>3.0</v>
      </c>
      <c r="E253" s="5">
        <v>17.0</v>
      </c>
      <c r="F253" s="5">
        <f t="shared" si="1"/>
        <v>51</v>
      </c>
      <c r="G253" s="14">
        <v>1.0</v>
      </c>
      <c r="H253" s="5" t="s">
        <v>293</v>
      </c>
      <c r="I253" s="5" t="s">
        <v>117</v>
      </c>
      <c r="J253" s="5" t="s">
        <v>165</v>
      </c>
      <c r="K253" s="5">
        <v>2800.0</v>
      </c>
      <c r="L253" s="5">
        <v>1500.0</v>
      </c>
      <c r="M253" s="5">
        <v>108000.0</v>
      </c>
      <c r="N253" s="5">
        <f>M253/'Input Costs'!$B$6</f>
        <v>1179.168031</v>
      </c>
      <c r="O253" s="5">
        <v>25.0</v>
      </c>
      <c r="P253" s="5">
        <v>10.0</v>
      </c>
      <c r="Q253" s="6">
        <f t="shared" si="2"/>
        <v>46062</v>
      </c>
      <c r="R253" s="24" t="s">
        <v>539</v>
      </c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22"/>
      <c r="B254" s="23" t="s">
        <v>542</v>
      </c>
      <c r="C254" s="5" t="s">
        <v>115</v>
      </c>
      <c r="D254" s="5">
        <v>3.0</v>
      </c>
      <c r="E254" s="5">
        <v>18.0</v>
      </c>
      <c r="F254" s="5">
        <f t="shared" si="1"/>
        <v>54</v>
      </c>
      <c r="G254" s="14">
        <v>1.0</v>
      </c>
      <c r="H254" s="5" t="s">
        <v>293</v>
      </c>
      <c r="I254" s="5" t="s">
        <v>117</v>
      </c>
      <c r="J254" s="5" t="s">
        <v>165</v>
      </c>
      <c r="K254" s="5">
        <v>2800.0</v>
      </c>
      <c r="L254" s="5">
        <v>1500.0</v>
      </c>
      <c r="M254" s="5">
        <v>106000.0</v>
      </c>
      <c r="N254" s="5">
        <f>M254/'Input Costs'!$B$6</f>
        <v>1157.331586</v>
      </c>
      <c r="O254" s="5">
        <v>25.0</v>
      </c>
      <c r="P254" s="5">
        <v>10.0</v>
      </c>
      <c r="Q254" s="6">
        <f t="shared" si="2"/>
        <v>46062</v>
      </c>
      <c r="R254" s="24" t="s">
        <v>543</v>
      </c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25"/>
      <c r="B255" s="23" t="s">
        <v>544</v>
      </c>
      <c r="C255" s="5" t="s">
        <v>115</v>
      </c>
      <c r="D255" s="5">
        <v>3.0</v>
      </c>
      <c r="E255" s="5">
        <v>20.0</v>
      </c>
      <c r="F255" s="5">
        <f t="shared" si="1"/>
        <v>60</v>
      </c>
      <c r="G255" s="14">
        <v>1.0</v>
      </c>
      <c r="H255" s="5" t="s">
        <v>293</v>
      </c>
      <c r="I255" s="5" t="s">
        <v>117</v>
      </c>
      <c r="J255" s="5" t="s">
        <v>165</v>
      </c>
      <c r="K255" s="5">
        <v>2800.0</v>
      </c>
      <c r="L255" s="5">
        <v>1500.0</v>
      </c>
      <c r="M255" s="5">
        <v>103000.0</v>
      </c>
      <c r="N255" s="5">
        <f>M255/'Input Costs'!$B$6</f>
        <v>1124.576919</v>
      </c>
      <c r="O255" s="5">
        <v>25.0</v>
      </c>
      <c r="P255" s="5">
        <v>10.0</v>
      </c>
      <c r="Q255" s="6">
        <f t="shared" si="2"/>
        <v>46062</v>
      </c>
      <c r="R255" s="24" t="s">
        <v>545</v>
      </c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16" t="s">
        <v>546</v>
      </c>
      <c r="B256" s="23" t="s">
        <v>547</v>
      </c>
      <c r="C256" s="5" t="s">
        <v>115</v>
      </c>
      <c r="D256" s="5">
        <v>3.0</v>
      </c>
      <c r="E256" s="5">
        <v>14.0</v>
      </c>
      <c r="F256" s="5">
        <f t="shared" si="1"/>
        <v>42</v>
      </c>
      <c r="G256" s="14">
        <v>0.8</v>
      </c>
      <c r="H256" s="5" t="s">
        <v>293</v>
      </c>
      <c r="I256" s="5" t="s">
        <v>117</v>
      </c>
      <c r="J256" s="5" t="s">
        <v>118</v>
      </c>
      <c r="K256" s="5">
        <v>2800.0</v>
      </c>
      <c r="L256" s="5">
        <v>1500.0</v>
      </c>
      <c r="M256" s="5">
        <v>112000.0</v>
      </c>
      <c r="N256" s="5">
        <f>M256/'Input Costs'!$B$6</f>
        <v>1222.840921</v>
      </c>
      <c r="O256" s="5">
        <v>25.0</v>
      </c>
      <c r="P256" s="5">
        <v>5.0</v>
      </c>
      <c r="Q256" s="6">
        <f t="shared" si="2"/>
        <v>46062</v>
      </c>
      <c r="R256" s="24" t="s">
        <v>548</v>
      </c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22"/>
      <c r="B257" s="23" t="s">
        <v>549</v>
      </c>
      <c r="C257" s="5" t="s">
        <v>115</v>
      </c>
      <c r="D257" s="5">
        <v>3.0</v>
      </c>
      <c r="E257" s="5">
        <v>15.0</v>
      </c>
      <c r="F257" s="5">
        <f t="shared" si="1"/>
        <v>45</v>
      </c>
      <c r="G257" s="14">
        <v>0.8</v>
      </c>
      <c r="H257" s="5" t="s">
        <v>293</v>
      </c>
      <c r="I257" s="5" t="s">
        <v>117</v>
      </c>
      <c r="J257" s="5" t="s">
        <v>118</v>
      </c>
      <c r="K257" s="5">
        <v>2800.0</v>
      </c>
      <c r="L257" s="5">
        <v>1500.0</v>
      </c>
      <c r="M257" s="5">
        <v>109000.0</v>
      </c>
      <c r="N257" s="5">
        <f>M257/'Input Costs'!$B$6</f>
        <v>1190.086254</v>
      </c>
      <c r="O257" s="5">
        <v>25.0</v>
      </c>
      <c r="P257" s="5">
        <v>5.0</v>
      </c>
      <c r="Q257" s="6">
        <f t="shared" si="2"/>
        <v>46062</v>
      </c>
      <c r="R257" s="24" t="s">
        <v>548</v>
      </c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22"/>
      <c r="B258" s="23" t="s">
        <v>550</v>
      </c>
      <c r="C258" s="5" t="s">
        <v>115</v>
      </c>
      <c r="D258" s="5">
        <v>3.0</v>
      </c>
      <c r="E258" s="5">
        <v>16.0</v>
      </c>
      <c r="F258" s="5">
        <f t="shared" si="1"/>
        <v>48</v>
      </c>
      <c r="G258" s="14">
        <v>0.8</v>
      </c>
      <c r="H258" s="5" t="s">
        <v>293</v>
      </c>
      <c r="I258" s="5" t="s">
        <v>117</v>
      </c>
      <c r="J258" s="5" t="s">
        <v>118</v>
      </c>
      <c r="K258" s="5">
        <v>2800.0</v>
      </c>
      <c r="L258" s="5">
        <v>1500.0</v>
      </c>
      <c r="M258" s="5">
        <v>107000.0</v>
      </c>
      <c r="N258" s="5">
        <f>M258/'Input Costs'!$B$6</f>
        <v>1168.249809</v>
      </c>
      <c r="O258" s="5">
        <v>25.0</v>
      </c>
      <c r="P258" s="5">
        <v>5.0</v>
      </c>
      <c r="Q258" s="6">
        <f t="shared" si="2"/>
        <v>46062</v>
      </c>
      <c r="R258" s="24" t="s">
        <v>548</v>
      </c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22"/>
      <c r="B259" s="23" t="s">
        <v>551</v>
      </c>
      <c r="C259" s="5" t="s">
        <v>115</v>
      </c>
      <c r="D259" s="5">
        <v>3.0</v>
      </c>
      <c r="E259" s="5">
        <v>17.0</v>
      </c>
      <c r="F259" s="5">
        <f t="shared" si="1"/>
        <v>51</v>
      </c>
      <c r="G259" s="14">
        <v>0.8</v>
      </c>
      <c r="H259" s="5" t="s">
        <v>293</v>
      </c>
      <c r="I259" s="5" t="s">
        <v>117</v>
      </c>
      <c r="J259" s="5" t="s">
        <v>118</v>
      </c>
      <c r="K259" s="5">
        <v>2800.0</v>
      </c>
      <c r="L259" s="5">
        <v>1500.0</v>
      </c>
      <c r="M259" s="5">
        <v>105000.0</v>
      </c>
      <c r="N259" s="5">
        <f>M259/'Input Costs'!$B$6</f>
        <v>1146.413364</v>
      </c>
      <c r="O259" s="5">
        <v>25.0</v>
      </c>
      <c r="P259" s="5">
        <v>5.0</v>
      </c>
      <c r="Q259" s="6">
        <f t="shared" si="2"/>
        <v>46062</v>
      </c>
      <c r="R259" s="24" t="s">
        <v>548</v>
      </c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22"/>
      <c r="B260" s="23" t="s">
        <v>552</v>
      </c>
      <c r="C260" s="5" t="s">
        <v>115</v>
      </c>
      <c r="D260" s="5">
        <v>3.0</v>
      </c>
      <c r="E260" s="5">
        <v>18.0</v>
      </c>
      <c r="F260" s="5">
        <f t="shared" si="1"/>
        <v>54</v>
      </c>
      <c r="G260" s="14">
        <v>0.8</v>
      </c>
      <c r="H260" s="5" t="s">
        <v>293</v>
      </c>
      <c r="I260" s="5" t="s">
        <v>117</v>
      </c>
      <c r="J260" s="5" t="s">
        <v>118</v>
      </c>
      <c r="K260" s="5">
        <v>2800.0</v>
      </c>
      <c r="L260" s="5">
        <v>1500.0</v>
      </c>
      <c r="M260" s="5">
        <v>103000.0</v>
      </c>
      <c r="N260" s="5">
        <f>M260/'Input Costs'!$B$6</f>
        <v>1124.576919</v>
      </c>
      <c r="O260" s="5">
        <v>25.0</v>
      </c>
      <c r="P260" s="5">
        <v>5.0</v>
      </c>
      <c r="Q260" s="6">
        <f t="shared" si="2"/>
        <v>46062</v>
      </c>
      <c r="R260" s="24" t="s">
        <v>548</v>
      </c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25"/>
      <c r="B261" s="23" t="s">
        <v>553</v>
      </c>
      <c r="C261" s="5" t="s">
        <v>115</v>
      </c>
      <c r="D261" s="5">
        <v>3.0</v>
      </c>
      <c r="E261" s="5">
        <v>20.0</v>
      </c>
      <c r="F261" s="5">
        <f t="shared" si="1"/>
        <v>60</v>
      </c>
      <c r="G261" s="14">
        <v>0.8</v>
      </c>
      <c r="H261" s="5" t="s">
        <v>293</v>
      </c>
      <c r="I261" s="5" t="s">
        <v>117</v>
      </c>
      <c r="J261" s="5" t="s">
        <v>118</v>
      </c>
      <c r="K261" s="5">
        <v>2800.0</v>
      </c>
      <c r="L261" s="5">
        <v>1500.0</v>
      </c>
      <c r="M261" s="5">
        <v>101000.0</v>
      </c>
      <c r="N261" s="5">
        <f>M261/'Input Costs'!$B$6</f>
        <v>1102.740474</v>
      </c>
      <c r="O261" s="5">
        <v>25.0</v>
      </c>
      <c r="P261" s="5">
        <v>5.0</v>
      </c>
      <c r="Q261" s="6">
        <f t="shared" si="2"/>
        <v>46062</v>
      </c>
      <c r="R261" s="24" t="s">
        <v>548</v>
      </c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16" t="s">
        <v>554</v>
      </c>
      <c r="B262" s="23" t="s">
        <v>555</v>
      </c>
      <c r="C262" s="5" t="s">
        <v>115</v>
      </c>
      <c r="D262" s="5">
        <v>3.0</v>
      </c>
      <c r="E262" s="5">
        <v>14.0</v>
      </c>
      <c r="F262" s="5">
        <f t="shared" si="1"/>
        <v>42</v>
      </c>
      <c r="G262" s="14">
        <v>0.7</v>
      </c>
      <c r="H262" s="5" t="s">
        <v>293</v>
      </c>
      <c r="I262" s="5" t="s">
        <v>117</v>
      </c>
      <c r="J262" s="5" t="s">
        <v>118</v>
      </c>
      <c r="K262" s="5">
        <v>2800.0</v>
      </c>
      <c r="L262" s="5">
        <v>1500.0</v>
      </c>
      <c r="M262" s="5">
        <v>106000.0</v>
      </c>
      <c r="N262" s="5">
        <f>M262/'Input Costs'!$B$6</f>
        <v>1157.331586</v>
      </c>
      <c r="O262" s="5">
        <v>25.0</v>
      </c>
      <c r="P262" s="5">
        <v>5.0</v>
      </c>
      <c r="Q262" s="6">
        <f t="shared" si="2"/>
        <v>46062</v>
      </c>
      <c r="R262" s="24" t="s">
        <v>556</v>
      </c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22"/>
      <c r="B263" s="23" t="s">
        <v>557</v>
      </c>
      <c r="C263" s="5" t="s">
        <v>115</v>
      </c>
      <c r="D263" s="5">
        <v>3.0</v>
      </c>
      <c r="E263" s="5">
        <v>15.0</v>
      </c>
      <c r="F263" s="5">
        <f t="shared" si="1"/>
        <v>45</v>
      </c>
      <c r="G263" s="14">
        <v>0.7</v>
      </c>
      <c r="H263" s="5" t="s">
        <v>293</v>
      </c>
      <c r="I263" s="5" t="s">
        <v>117</v>
      </c>
      <c r="J263" s="5" t="s">
        <v>118</v>
      </c>
      <c r="K263" s="5">
        <v>2800.0</v>
      </c>
      <c r="L263" s="5">
        <v>1500.0</v>
      </c>
      <c r="M263" s="5">
        <v>103000.0</v>
      </c>
      <c r="N263" s="5">
        <f>M263/'Input Costs'!$B$6</f>
        <v>1124.576919</v>
      </c>
      <c r="O263" s="5">
        <v>25.0</v>
      </c>
      <c r="P263" s="5">
        <v>5.0</v>
      </c>
      <c r="Q263" s="6">
        <f t="shared" si="2"/>
        <v>46062</v>
      </c>
      <c r="R263" s="24" t="s">
        <v>556</v>
      </c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22"/>
      <c r="B264" s="23" t="s">
        <v>558</v>
      </c>
      <c r="C264" s="5" t="s">
        <v>115</v>
      </c>
      <c r="D264" s="5">
        <v>3.0</v>
      </c>
      <c r="E264" s="5">
        <v>16.0</v>
      </c>
      <c r="F264" s="5">
        <f t="shared" si="1"/>
        <v>48</v>
      </c>
      <c r="G264" s="14">
        <v>0.7</v>
      </c>
      <c r="H264" s="5" t="s">
        <v>293</v>
      </c>
      <c r="I264" s="5" t="s">
        <v>117</v>
      </c>
      <c r="J264" s="5" t="s">
        <v>118</v>
      </c>
      <c r="K264" s="5">
        <v>2800.0</v>
      </c>
      <c r="L264" s="5">
        <v>1500.0</v>
      </c>
      <c r="M264" s="5">
        <v>101000.0</v>
      </c>
      <c r="N264" s="5">
        <f>M264/'Input Costs'!$B$6</f>
        <v>1102.740474</v>
      </c>
      <c r="O264" s="5">
        <v>25.0</v>
      </c>
      <c r="P264" s="5">
        <v>5.0</v>
      </c>
      <c r="Q264" s="6">
        <f t="shared" si="2"/>
        <v>46062</v>
      </c>
      <c r="R264" s="24" t="s">
        <v>556</v>
      </c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22"/>
      <c r="B265" s="23" t="s">
        <v>559</v>
      </c>
      <c r="C265" s="5" t="s">
        <v>115</v>
      </c>
      <c r="D265" s="5">
        <v>3.0</v>
      </c>
      <c r="E265" s="5">
        <v>17.0</v>
      </c>
      <c r="F265" s="5">
        <f t="shared" si="1"/>
        <v>51</v>
      </c>
      <c r="G265" s="14">
        <v>0.7</v>
      </c>
      <c r="H265" s="5" t="s">
        <v>293</v>
      </c>
      <c r="I265" s="5" t="s">
        <v>117</v>
      </c>
      <c r="J265" s="5" t="s">
        <v>118</v>
      </c>
      <c r="K265" s="5">
        <v>2800.0</v>
      </c>
      <c r="L265" s="5">
        <v>1500.0</v>
      </c>
      <c r="M265" s="5">
        <v>99000.0</v>
      </c>
      <c r="N265" s="5">
        <f>M265/'Input Costs'!$B$6</f>
        <v>1080.904029</v>
      </c>
      <c r="O265" s="5">
        <v>25.0</v>
      </c>
      <c r="P265" s="5">
        <v>5.0</v>
      </c>
      <c r="Q265" s="6">
        <f t="shared" si="2"/>
        <v>46062</v>
      </c>
      <c r="R265" s="24" t="s">
        <v>556</v>
      </c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22"/>
      <c r="B266" s="23" t="s">
        <v>560</v>
      </c>
      <c r="C266" s="5" t="s">
        <v>115</v>
      </c>
      <c r="D266" s="5">
        <v>3.0</v>
      </c>
      <c r="E266" s="5">
        <v>18.0</v>
      </c>
      <c r="F266" s="5">
        <f t="shared" si="1"/>
        <v>54</v>
      </c>
      <c r="G266" s="14">
        <v>0.7</v>
      </c>
      <c r="H266" s="5" t="s">
        <v>293</v>
      </c>
      <c r="I266" s="5" t="s">
        <v>117</v>
      </c>
      <c r="J266" s="5" t="s">
        <v>118</v>
      </c>
      <c r="K266" s="5">
        <v>2800.0</v>
      </c>
      <c r="L266" s="5">
        <v>1500.0</v>
      </c>
      <c r="M266" s="5">
        <v>97000.0</v>
      </c>
      <c r="N266" s="5">
        <f>M266/'Input Costs'!$B$6</f>
        <v>1059.067584</v>
      </c>
      <c r="O266" s="5">
        <v>25.0</v>
      </c>
      <c r="P266" s="5">
        <v>5.0</v>
      </c>
      <c r="Q266" s="6">
        <f t="shared" si="2"/>
        <v>46062</v>
      </c>
      <c r="R266" s="24" t="s">
        <v>556</v>
      </c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25"/>
      <c r="B267" s="23" t="s">
        <v>561</v>
      </c>
      <c r="C267" s="5" t="s">
        <v>115</v>
      </c>
      <c r="D267" s="5">
        <v>3.0</v>
      </c>
      <c r="E267" s="5">
        <v>20.0</v>
      </c>
      <c r="F267" s="5">
        <f t="shared" si="1"/>
        <v>60</v>
      </c>
      <c r="G267" s="14">
        <v>0.7</v>
      </c>
      <c r="H267" s="5" t="s">
        <v>293</v>
      </c>
      <c r="I267" s="5" t="s">
        <v>117</v>
      </c>
      <c r="J267" s="5" t="s">
        <v>118</v>
      </c>
      <c r="K267" s="5">
        <v>2800.0</v>
      </c>
      <c r="L267" s="5">
        <v>1500.0</v>
      </c>
      <c r="M267" s="5">
        <v>95000.0</v>
      </c>
      <c r="N267" s="5">
        <f>M267/'Input Costs'!$B$6</f>
        <v>1037.231139</v>
      </c>
      <c r="O267" s="5">
        <v>25.0</v>
      </c>
      <c r="P267" s="5">
        <v>5.0</v>
      </c>
      <c r="Q267" s="6">
        <f t="shared" si="2"/>
        <v>46062</v>
      </c>
      <c r="R267" s="24" t="s">
        <v>556</v>
      </c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16" t="s">
        <v>562</v>
      </c>
      <c r="B268" s="23" t="s">
        <v>563</v>
      </c>
      <c r="C268" s="5" t="s">
        <v>115</v>
      </c>
      <c r="D268" s="5">
        <v>3.0</v>
      </c>
      <c r="E268" s="5">
        <v>14.0</v>
      </c>
      <c r="F268" s="5">
        <f t="shared" si="1"/>
        <v>42</v>
      </c>
      <c r="G268" s="14">
        <v>0.5</v>
      </c>
      <c r="H268" s="5" t="s">
        <v>293</v>
      </c>
      <c r="I268" s="5" t="s">
        <v>117</v>
      </c>
      <c r="J268" s="5" t="s">
        <v>118</v>
      </c>
      <c r="K268" s="5">
        <v>2800.0</v>
      </c>
      <c r="L268" s="5">
        <v>1500.0</v>
      </c>
      <c r="M268" s="5">
        <v>98000.0</v>
      </c>
      <c r="N268" s="5">
        <f>M268/'Input Costs'!$B$6</f>
        <v>1069.985806</v>
      </c>
      <c r="O268" s="5">
        <v>25.0</v>
      </c>
      <c r="P268" s="5">
        <v>5.0</v>
      </c>
      <c r="Q268" s="6">
        <f t="shared" si="2"/>
        <v>46062</v>
      </c>
      <c r="R268" s="24" t="s">
        <v>564</v>
      </c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22"/>
      <c r="B269" s="23" t="s">
        <v>565</v>
      </c>
      <c r="C269" s="5" t="s">
        <v>115</v>
      </c>
      <c r="D269" s="5">
        <v>3.0</v>
      </c>
      <c r="E269" s="5">
        <v>15.0</v>
      </c>
      <c r="F269" s="5">
        <f t="shared" si="1"/>
        <v>45</v>
      </c>
      <c r="G269" s="14">
        <v>0.5</v>
      </c>
      <c r="H269" s="5" t="s">
        <v>293</v>
      </c>
      <c r="I269" s="5" t="s">
        <v>117</v>
      </c>
      <c r="J269" s="5" t="s">
        <v>118</v>
      </c>
      <c r="K269" s="5">
        <v>2800.0</v>
      </c>
      <c r="L269" s="5">
        <v>1500.0</v>
      </c>
      <c r="M269" s="5">
        <v>95000.0</v>
      </c>
      <c r="N269" s="5">
        <f>M269/'Input Costs'!$B$6</f>
        <v>1037.231139</v>
      </c>
      <c r="O269" s="5">
        <v>25.0</v>
      </c>
      <c r="P269" s="5">
        <v>5.0</v>
      </c>
      <c r="Q269" s="6">
        <f t="shared" si="2"/>
        <v>46062</v>
      </c>
      <c r="R269" s="24" t="s">
        <v>564</v>
      </c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22"/>
      <c r="B270" s="23" t="s">
        <v>566</v>
      </c>
      <c r="C270" s="5" t="s">
        <v>115</v>
      </c>
      <c r="D270" s="5">
        <v>3.0</v>
      </c>
      <c r="E270" s="5">
        <v>16.0</v>
      </c>
      <c r="F270" s="5">
        <f t="shared" si="1"/>
        <v>48</v>
      </c>
      <c r="G270" s="14">
        <v>0.5</v>
      </c>
      <c r="H270" s="5" t="s">
        <v>293</v>
      </c>
      <c r="I270" s="5" t="s">
        <v>117</v>
      </c>
      <c r="J270" s="5" t="s">
        <v>118</v>
      </c>
      <c r="K270" s="5">
        <v>2800.0</v>
      </c>
      <c r="L270" s="5">
        <v>1500.0</v>
      </c>
      <c r="M270" s="5">
        <v>93000.0</v>
      </c>
      <c r="N270" s="5">
        <f>M270/'Input Costs'!$B$6</f>
        <v>1015.394694</v>
      </c>
      <c r="O270" s="5">
        <v>25.0</v>
      </c>
      <c r="P270" s="5">
        <v>5.0</v>
      </c>
      <c r="Q270" s="6">
        <f t="shared" si="2"/>
        <v>46062</v>
      </c>
      <c r="R270" s="24" t="s">
        <v>564</v>
      </c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22"/>
      <c r="B271" s="23" t="s">
        <v>567</v>
      </c>
      <c r="C271" s="5" t="s">
        <v>115</v>
      </c>
      <c r="D271" s="5">
        <v>3.0</v>
      </c>
      <c r="E271" s="5">
        <v>17.0</v>
      </c>
      <c r="F271" s="5">
        <f t="shared" si="1"/>
        <v>51</v>
      </c>
      <c r="G271" s="14">
        <v>0.5</v>
      </c>
      <c r="H271" s="5" t="s">
        <v>293</v>
      </c>
      <c r="I271" s="5" t="s">
        <v>117</v>
      </c>
      <c r="J271" s="5" t="s">
        <v>118</v>
      </c>
      <c r="K271" s="5">
        <v>2800.0</v>
      </c>
      <c r="L271" s="5">
        <v>1500.0</v>
      </c>
      <c r="M271" s="5">
        <v>91000.0</v>
      </c>
      <c r="N271" s="5">
        <f>M271/'Input Costs'!$B$6</f>
        <v>993.5582487</v>
      </c>
      <c r="O271" s="5">
        <v>25.0</v>
      </c>
      <c r="P271" s="5">
        <v>5.0</v>
      </c>
      <c r="Q271" s="6">
        <f t="shared" si="2"/>
        <v>46062</v>
      </c>
      <c r="R271" s="24" t="s">
        <v>564</v>
      </c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22"/>
      <c r="B272" s="23" t="s">
        <v>568</v>
      </c>
      <c r="C272" s="5" t="s">
        <v>115</v>
      </c>
      <c r="D272" s="5">
        <v>3.0</v>
      </c>
      <c r="E272" s="5">
        <v>18.0</v>
      </c>
      <c r="F272" s="5">
        <f t="shared" si="1"/>
        <v>54</v>
      </c>
      <c r="G272" s="14">
        <v>0.5</v>
      </c>
      <c r="H272" s="5" t="s">
        <v>293</v>
      </c>
      <c r="I272" s="5" t="s">
        <v>117</v>
      </c>
      <c r="J272" s="5" t="s">
        <v>118</v>
      </c>
      <c r="K272" s="5">
        <v>2800.0</v>
      </c>
      <c r="L272" s="5">
        <v>1500.0</v>
      </c>
      <c r="M272" s="5">
        <v>89000.0</v>
      </c>
      <c r="N272" s="5">
        <f>M272/'Input Costs'!$B$6</f>
        <v>971.7218037</v>
      </c>
      <c r="O272" s="5">
        <v>25.0</v>
      </c>
      <c r="P272" s="5">
        <v>5.0</v>
      </c>
      <c r="Q272" s="6">
        <f t="shared" si="2"/>
        <v>46062</v>
      </c>
      <c r="R272" s="24" t="s">
        <v>564</v>
      </c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25"/>
      <c r="B273" s="23" t="s">
        <v>569</v>
      </c>
      <c r="C273" s="5" t="s">
        <v>115</v>
      </c>
      <c r="D273" s="5">
        <v>3.0</v>
      </c>
      <c r="E273" s="5">
        <v>20.0</v>
      </c>
      <c r="F273" s="5">
        <f t="shared" si="1"/>
        <v>60</v>
      </c>
      <c r="G273" s="14">
        <v>0.5</v>
      </c>
      <c r="H273" s="5" t="s">
        <v>293</v>
      </c>
      <c r="I273" s="5" t="s">
        <v>117</v>
      </c>
      <c r="J273" s="5" t="s">
        <v>118</v>
      </c>
      <c r="K273" s="5">
        <v>2800.0</v>
      </c>
      <c r="L273" s="5">
        <v>1500.0</v>
      </c>
      <c r="M273" s="5">
        <v>87000.0</v>
      </c>
      <c r="N273" s="5">
        <f>M273/'Input Costs'!$B$6</f>
        <v>949.8853587</v>
      </c>
      <c r="O273" s="5">
        <v>25.0</v>
      </c>
      <c r="P273" s="5">
        <v>5.0</v>
      </c>
      <c r="Q273" s="6">
        <f t="shared" si="2"/>
        <v>46062</v>
      </c>
      <c r="R273" s="24" t="s">
        <v>564</v>
      </c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16" t="s">
        <v>570</v>
      </c>
      <c r="B274" s="23" t="s">
        <v>571</v>
      </c>
      <c r="C274" s="5" t="s">
        <v>115</v>
      </c>
      <c r="D274" s="5">
        <v>3.0</v>
      </c>
      <c r="E274" s="5">
        <v>15.0</v>
      </c>
      <c r="F274" s="5">
        <f t="shared" si="1"/>
        <v>45</v>
      </c>
      <c r="G274" s="14">
        <v>0.3</v>
      </c>
      <c r="H274" s="5" t="s">
        <v>293</v>
      </c>
      <c r="I274" s="5" t="s">
        <v>117</v>
      </c>
      <c r="J274" s="5" t="s">
        <v>118</v>
      </c>
      <c r="K274" s="5">
        <v>2800.0</v>
      </c>
      <c r="L274" s="5">
        <v>1500.0</v>
      </c>
      <c r="M274" s="5">
        <v>87000.0</v>
      </c>
      <c r="N274" s="5">
        <f>M274/'Input Costs'!$B$6</f>
        <v>949.8853587</v>
      </c>
      <c r="O274" s="5">
        <v>25.0</v>
      </c>
      <c r="P274" s="5">
        <v>5.0</v>
      </c>
      <c r="Q274" s="6">
        <f t="shared" si="2"/>
        <v>46062</v>
      </c>
      <c r="R274" s="24" t="s">
        <v>572</v>
      </c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22"/>
      <c r="B275" s="23" t="s">
        <v>573</v>
      </c>
      <c r="C275" s="5" t="s">
        <v>115</v>
      </c>
      <c r="D275" s="5">
        <v>3.0</v>
      </c>
      <c r="E275" s="5">
        <v>16.0</v>
      </c>
      <c r="F275" s="5">
        <f t="shared" si="1"/>
        <v>48</v>
      </c>
      <c r="G275" s="14">
        <v>0.3</v>
      </c>
      <c r="H275" s="5" t="s">
        <v>293</v>
      </c>
      <c r="I275" s="5" t="s">
        <v>117</v>
      </c>
      <c r="J275" s="5" t="s">
        <v>118</v>
      </c>
      <c r="K275" s="5">
        <v>2800.0</v>
      </c>
      <c r="L275" s="5">
        <v>1500.0</v>
      </c>
      <c r="M275" s="5">
        <v>85000.0</v>
      </c>
      <c r="N275" s="5">
        <f>M275/'Input Costs'!$B$6</f>
        <v>928.0489136</v>
      </c>
      <c r="O275" s="5">
        <v>25.0</v>
      </c>
      <c r="P275" s="5">
        <v>5.0</v>
      </c>
      <c r="Q275" s="6">
        <f t="shared" si="2"/>
        <v>46062</v>
      </c>
      <c r="R275" s="24" t="s">
        <v>572</v>
      </c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22"/>
      <c r="B276" s="23" t="s">
        <v>574</v>
      </c>
      <c r="C276" s="5" t="s">
        <v>115</v>
      </c>
      <c r="D276" s="5">
        <v>3.0</v>
      </c>
      <c r="E276" s="5">
        <v>17.0</v>
      </c>
      <c r="F276" s="5">
        <f t="shared" si="1"/>
        <v>51</v>
      </c>
      <c r="G276" s="14">
        <v>0.3</v>
      </c>
      <c r="H276" s="5" t="s">
        <v>293</v>
      </c>
      <c r="I276" s="5" t="s">
        <v>117</v>
      </c>
      <c r="J276" s="5" t="s">
        <v>118</v>
      </c>
      <c r="K276" s="5">
        <v>2800.0</v>
      </c>
      <c r="L276" s="5">
        <v>1500.0</v>
      </c>
      <c r="M276" s="5">
        <v>83000.0</v>
      </c>
      <c r="N276" s="5">
        <f>M276/'Input Costs'!$B$6</f>
        <v>906.2124686</v>
      </c>
      <c r="O276" s="5">
        <v>25.0</v>
      </c>
      <c r="P276" s="5">
        <v>5.0</v>
      </c>
      <c r="Q276" s="6">
        <f t="shared" si="2"/>
        <v>46062</v>
      </c>
      <c r="R276" s="24" t="s">
        <v>572</v>
      </c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22"/>
      <c r="B277" s="23" t="s">
        <v>575</v>
      </c>
      <c r="C277" s="5" t="s">
        <v>115</v>
      </c>
      <c r="D277" s="5">
        <v>3.0</v>
      </c>
      <c r="E277" s="5">
        <v>18.0</v>
      </c>
      <c r="F277" s="5">
        <f t="shared" si="1"/>
        <v>54</v>
      </c>
      <c r="G277" s="14">
        <v>0.3</v>
      </c>
      <c r="H277" s="5" t="s">
        <v>293</v>
      </c>
      <c r="I277" s="5" t="s">
        <v>117</v>
      </c>
      <c r="J277" s="5" t="s">
        <v>118</v>
      </c>
      <c r="K277" s="5">
        <v>2800.0</v>
      </c>
      <c r="L277" s="5">
        <v>1500.0</v>
      </c>
      <c r="M277" s="5">
        <v>81000.0</v>
      </c>
      <c r="N277" s="5">
        <f>M277/'Input Costs'!$B$6</f>
        <v>884.3760236</v>
      </c>
      <c r="O277" s="5">
        <v>25.0</v>
      </c>
      <c r="P277" s="5">
        <v>5.0</v>
      </c>
      <c r="Q277" s="6">
        <f t="shared" si="2"/>
        <v>46062</v>
      </c>
      <c r="R277" s="24" t="s">
        <v>572</v>
      </c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25"/>
      <c r="B278" s="23" t="s">
        <v>576</v>
      </c>
      <c r="C278" s="5" t="s">
        <v>115</v>
      </c>
      <c r="D278" s="5">
        <v>3.0</v>
      </c>
      <c r="E278" s="5">
        <v>20.0</v>
      </c>
      <c r="F278" s="5">
        <f t="shared" si="1"/>
        <v>60</v>
      </c>
      <c r="G278" s="14">
        <v>0.3</v>
      </c>
      <c r="H278" s="5" t="s">
        <v>293</v>
      </c>
      <c r="I278" s="5" t="s">
        <v>117</v>
      </c>
      <c r="J278" s="5" t="s">
        <v>118</v>
      </c>
      <c r="K278" s="5">
        <v>2800.0</v>
      </c>
      <c r="L278" s="5">
        <v>1500.0</v>
      </c>
      <c r="M278" s="5">
        <v>79000.0</v>
      </c>
      <c r="N278" s="5">
        <f>M278/'Input Costs'!$B$6</f>
        <v>862.5395786</v>
      </c>
      <c r="O278" s="5">
        <v>25.0</v>
      </c>
      <c r="P278" s="5">
        <v>5.0</v>
      </c>
      <c r="Q278" s="6">
        <f t="shared" si="2"/>
        <v>46062</v>
      </c>
      <c r="R278" s="24" t="s">
        <v>572</v>
      </c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16" t="s">
        <v>577</v>
      </c>
      <c r="B279" s="23" t="s">
        <v>578</v>
      </c>
      <c r="C279" s="5" t="s">
        <v>115</v>
      </c>
      <c r="D279" s="5">
        <v>3.0</v>
      </c>
      <c r="E279" s="5">
        <v>15.0</v>
      </c>
      <c r="F279" s="5">
        <f t="shared" si="1"/>
        <v>45</v>
      </c>
      <c r="G279" s="14">
        <v>0.0</v>
      </c>
      <c r="H279" s="5" t="s">
        <v>293</v>
      </c>
      <c r="I279" s="5" t="s">
        <v>117</v>
      </c>
      <c r="J279" s="5" t="s">
        <v>165</v>
      </c>
      <c r="K279" s="5">
        <v>2800.0</v>
      </c>
      <c r="L279" s="5">
        <v>1500.0</v>
      </c>
      <c r="M279" s="5">
        <v>77000.0</v>
      </c>
      <c r="N279" s="5">
        <f>M279/'Input Costs'!$B$6</f>
        <v>840.7031335</v>
      </c>
      <c r="O279" s="5">
        <v>21.0</v>
      </c>
      <c r="P279" s="5">
        <v>10.0</v>
      </c>
      <c r="Q279" s="6">
        <f t="shared" si="2"/>
        <v>46062</v>
      </c>
      <c r="R279" s="24" t="s">
        <v>579</v>
      </c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22"/>
      <c r="B280" s="23" t="s">
        <v>580</v>
      </c>
      <c r="C280" s="5" t="s">
        <v>115</v>
      </c>
      <c r="D280" s="5">
        <v>3.0</v>
      </c>
      <c r="E280" s="5">
        <v>16.0</v>
      </c>
      <c r="F280" s="5">
        <f t="shared" si="1"/>
        <v>48</v>
      </c>
      <c r="G280" s="14">
        <v>0.0</v>
      </c>
      <c r="H280" s="5" t="s">
        <v>293</v>
      </c>
      <c r="I280" s="5" t="s">
        <v>117</v>
      </c>
      <c r="J280" s="5" t="s">
        <v>165</v>
      </c>
      <c r="K280" s="5">
        <v>2800.0</v>
      </c>
      <c r="L280" s="5">
        <v>1500.0</v>
      </c>
      <c r="M280" s="5">
        <v>75000.0</v>
      </c>
      <c r="N280" s="5">
        <f>M280/'Input Costs'!$B$6</f>
        <v>818.8666885</v>
      </c>
      <c r="O280" s="5">
        <v>21.0</v>
      </c>
      <c r="P280" s="5">
        <v>10.0</v>
      </c>
      <c r="Q280" s="6">
        <f t="shared" si="2"/>
        <v>46062</v>
      </c>
      <c r="R280" s="24" t="s">
        <v>579</v>
      </c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22"/>
      <c r="B281" s="23" t="s">
        <v>581</v>
      </c>
      <c r="C281" s="5" t="s">
        <v>115</v>
      </c>
      <c r="D281" s="5">
        <v>3.0</v>
      </c>
      <c r="E281" s="5">
        <v>17.0</v>
      </c>
      <c r="F281" s="5">
        <f t="shared" si="1"/>
        <v>51</v>
      </c>
      <c r="G281" s="14">
        <v>0.0</v>
      </c>
      <c r="H281" s="5" t="s">
        <v>293</v>
      </c>
      <c r="I281" s="5" t="s">
        <v>117</v>
      </c>
      <c r="J281" s="5" t="s">
        <v>165</v>
      </c>
      <c r="K281" s="5">
        <v>2800.0</v>
      </c>
      <c r="L281" s="5">
        <v>1500.0</v>
      </c>
      <c r="M281" s="5">
        <v>73000.0</v>
      </c>
      <c r="N281" s="5">
        <f>M281/'Input Costs'!$B$6</f>
        <v>797.0302435</v>
      </c>
      <c r="O281" s="5">
        <v>21.0</v>
      </c>
      <c r="P281" s="5">
        <v>10.0</v>
      </c>
      <c r="Q281" s="6">
        <f t="shared" si="2"/>
        <v>46062</v>
      </c>
      <c r="R281" s="24" t="s">
        <v>579</v>
      </c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22"/>
      <c r="B282" s="23" t="s">
        <v>582</v>
      </c>
      <c r="C282" s="5" t="s">
        <v>115</v>
      </c>
      <c r="D282" s="5">
        <v>3.0</v>
      </c>
      <c r="E282" s="5">
        <v>18.0</v>
      </c>
      <c r="F282" s="5">
        <f t="shared" si="1"/>
        <v>54</v>
      </c>
      <c r="G282" s="14">
        <v>0.0</v>
      </c>
      <c r="H282" s="5" t="s">
        <v>293</v>
      </c>
      <c r="I282" s="5" t="s">
        <v>117</v>
      </c>
      <c r="J282" s="5" t="s">
        <v>165</v>
      </c>
      <c r="K282" s="5">
        <v>2800.0</v>
      </c>
      <c r="L282" s="5">
        <v>1500.0</v>
      </c>
      <c r="M282" s="5">
        <v>71000.0</v>
      </c>
      <c r="N282" s="5">
        <f>M282/'Input Costs'!$B$6</f>
        <v>775.1937984</v>
      </c>
      <c r="O282" s="5">
        <v>21.0</v>
      </c>
      <c r="P282" s="5">
        <v>10.0</v>
      </c>
      <c r="Q282" s="6">
        <f t="shared" si="2"/>
        <v>46062</v>
      </c>
      <c r="R282" s="24" t="s">
        <v>579</v>
      </c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22"/>
      <c r="B283" s="23" t="s">
        <v>583</v>
      </c>
      <c r="C283" s="5" t="s">
        <v>115</v>
      </c>
      <c r="D283" s="5">
        <v>3.0</v>
      </c>
      <c r="E283" s="5">
        <v>20.0</v>
      </c>
      <c r="F283" s="5">
        <f t="shared" si="1"/>
        <v>60</v>
      </c>
      <c r="G283" s="14">
        <v>0.0</v>
      </c>
      <c r="H283" s="5" t="s">
        <v>293</v>
      </c>
      <c r="I283" s="5" t="s">
        <v>117</v>
      </c>
      <c r="J283" s="5" t="s">
        <v>165</v>
      </c>
      <c r="K283" s="5">
        <v>2800.0</v>
      </c>
      <c r="L283" s="5">
        <v>1500.0</v>
      </c>
      <c r="M283" s="5">
        <v>69000.0</v>
      </c>
      <c r="N283" s="5">
        <f>M283/'Input Costs'!$B$6</f>
        <v>753.3573534</v>
      </c>
      <c r="O283" s="5">
        <v>21.0</v>
      </c>
      <c r="P283" s="5">
        <v>10.0</v>
      </c>
      <c r="Q283" s="6">
        <f t="shared" si="2"/>
        <v>46062</v>
      </c>
      <c r="R283" s="24" t="s">
        <v>579</v>
      </c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22"/>
      <c r="B284" s="23" t="s">
        <v>584</v>
      </c>
      <c r="C284" s="5" t="s">
        <v>115</v>
      </c>
      <c r="D284" s="5">
        <v>3.0</v>
      </c>
      <c r="E284" s="5">
        <v>15.0</v>
      </c>
      <c r="F284" s="5">
        <f t="shared" si="1"/>
        <v>45</v>
      </c>
      <c r="G284" s="14">
        <v>0.0</v>
      </c>
      <c r="H284" s="5" t="s">
        <v>293</v>
      </c>
      <c r="I284" s="5" t="s">
        <v>222</v>
      </c>
      <c r="J284" s="5" t="s">
        <v>165</v>
      </c>
      <c r="K284" s="5">
        <v>2800.0</v>
      </c>
      <c r="L284" s="5">
        <v>1500.0</v>
      </c>
      <c r="M284" s="5">
        <v>74000.0</v>
      </c>
      <c r="N284" s="5">
        <f>M284/'Input Costs'!$B$6</f>
        <v>807.948466</v>
      </c>
      <c r="O284" s="5">
        <v>21.0</v>
      </c>
      <c r="P284" s="5">
        <v>10.0</v>
      </c>
      <c r="Q284" s="6">
        <f t="shared" si="2"/>
        <v>46062</v>
      </c>
      <c r="R284" s="24" t="s">
        <v>585</v>
      </c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22"/>
      <c r="B285" s="23" t="s">
        <v>586</v>
      </c>
      <c r="C285" s="5" t="s">
        <v>115</v>
      </c>
      <c r="D285" s="5">
        <v>3.0</v>
      </c>
      <c r="E285" s="5">
        <v>17.0</v>
      </c>
      <c r="F285" s="5">
        <f t="shared" si="1"/>
        <v>51</v>
      </c>
      <c r="G285" s="14">
        <v>0.0</v>
      </c>
      <c r="H285" s="5" t="s">
        <v>293</v>
      </c>
      <c r="I285" s="5" t="s">
        <v>222</v>
      </c>
      <c r="J285" s="5" t="s">
        <v>165</v>
      </c>
      <c r="K285" s="5">
        <v>2800.0</v>
      </c>
      <c r="L285" s="5">
        <v>1500.0</v>
      </c>
      <c r="M285" s="5">
        <v>70000.0</v>
      </c>
      <c r="N285" s="5">
        <f>M285/'Input Costs'!$B$6</f>
        <v>764.2755759</v>
      </c>
      <c r="O285" s="5">
        <v>21.0</v>
      </c>
      <c r="P285" s="5">
        <v>10.0</v>
      </c>
      <c r="Q285" s="6">
        <f t="shared" si="2"/>
        <v>46062</v>
      </c>
      <c r="R285" s="24" t="s">
        <v>585</v>
      </c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25"/>
      <c r="B286" s="23" t="s">
        <v>587</v>
      </c>
      <c r="C286" s="5" t="s">
        <v>115</v>
      </c>
      <c r="D286" s="5">
        <v>3.0</v>
      </c>
      <c r="E286" s="5">
        <v>18.0</v>
      </c>
      <c r="F286" s="5">
        <f t="shared" si="1"/>
        <v>54</v>
      </c>
      <c r="G286" s="14">
        <v>0.0</v>
      </c>
      <c r="H286" s="5" t="s">
        <v>293</v>
      </c>
      <c r="I286" s="5" t="s">
        <v>222</v>
      </c>
      <c r="J286" s="5" t="s">
        <v>165</v>
      </c>
      <c r="K286" s="5">
        <v>2800.0</v>
      </c>
      <c r="L286" s="5">
        <v>1500.0</v>
      </c>
      <c r="M286" s="5">
        <v>68000.0</v>
      </c>
      <c r="N286" s="5">
        <f>M286/'Input Costs'!$B$6</f>
        <v>742.4391309</v>
      </c>
      <c r="O286" s="5">
        <v>21.0</v>
      </c>
      <c r="P286" s="5">
        <v>10.0</v>
      </c>
      <c r="Q286" s="6">
        <f t="shared" si="2"/>
        <v>46062</v>
      </c>
      <c r="R286" s="24" t="s">
        <v>585</v>
      </c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16" t="s">
        <v>588</v>
      </c>
      <c r="B287" s="23" t="s">
        <v>589</v>
      </c>
      <c r="C287" s="5" t="s">
        <v>115</v>
      </c>
      <c r="D287" s="5">
        <v>3.0</v>
      </c>
      <c r="E287" s="5">
        <v>15.0</v>
      </c>
      <c r="F287" s="5">
        <f t="shared" si="1"/>
        <v>45</v>
      </c>
      <c r="G287" s="14">
        <v>1.0</v>
      </c>
      <c r="H287" s="5" t="s">
        <v>396</v>
      </c>
      <c r="I287" s="5" t="s">
        <v>117</v>
      </c>
      <c r="J287" s="5" t="s">
        <v>118</v>
      </c>
      <c r="K287" s="5">
        <v>2800.0</v>
      </c>
      <c r="L287" s="5">
        <v>1500.0</v>
      </c>
      <c r="M287" s="5">
        <v>134000.0</v>
      </c>
      <c r="N287" s="5">
        <f>M287/'Input Costs'!$B$6</f>
        <v>1463.041817</v>
      </c>
      <c r="O287" s="5">
        <v>30.0</v>
      </c>
      <c r="P287" s="5">
        <v>5.0</v>
      </c>
      <c r="Q287" s="6">
        <f t="shared" si="2"/>
        <v>46062</v>
      </c>
      <c r="R287" s="24" t="s">
        <v>590</v>
      </c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22"/>
      <c r="B288" s="23" t="s">
        <v>591</v>
      </c>
      <c r="C288" s="5" t="s">
        <v>115</v>
      </c>
      <c r="D288" s="5">
        <v>3.0</v>
      </c>
      <c r="E288" s="5">
        <v>16.0</v>
      </c>
      <c r="F288" s="5">
        <f t="shared" si="1"/>
        <v>48</v>
      </c>
      <c r="G288" s="14">
        <v>1.0</v>
      </c>
      <c r="H288" s="5" t="s">
        <v>396</v>
      </c>
      <c r="I288" s="5" t="s">
        <v>117</v>
      </c>
      <c r="J288" s="5" t="s">
        <v>118</v>
      </c>
      <c r="K288" s="5">
        <v>2800.0</v>
      </c>
      <c r="L288" s="5">
        <v>1500.0</v>
      </c>
      <c r="M288" s="5">
        <v>132000.0</v>
      </c>
      <c r="N288" s="5">
        <f>M288/'Input Costs'!$B$6</f>
        <v>1441.205372</v>
      </c>
      <c r="O288" s="5">
        <v>30.0</v>
      </c>
      <c r="P288" s="5">
        <v>5.0</v>
      </c>
      <c r="Q288" s="6">
        <f t="shared" si="2"/>
        <v>46062</v>
      </c>
      <c r="R288" s="24" t="s">
        <v>590</v>
      </c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22"/>
      <c r="B289" s="23" t="s">
        <v>592</v>
      </c>
      <c r="C289" s="5" t="s">
        <v>115</v>
      </c>
      <c r="D289" s="5">
        <v>3.0</v>
      </c>
      <c r="E289" s="5">
        <v>17.0</v>
      </c>
      <c r="F289" s="5">
        <f t="shared" si="1"/>
        <v>51</v>
      </c>
      <c r="G289" s="14">
        <v>1.0</v>
      </c>
      <c r="H289" s="5" t="s">
        <v>396</v>
      </c>
      <c r="I289" s="5" t="s">
        <v>117</v>
      </c>
      <c r="J289" s="5" t="s">
        <v>118</v>
      </c>
      <c r="K289" s="5">
        <v>2800.0</v>
      </c>
      <c r="L289" s="5">
        <v>1500.0</v>
      </c>
      <c r="M289" s="5">
        <v>130000.0</v>
      </c>
      <c r="N289" s="5">
        <f>M289/'Input Costs'!$B$6</f>
        <v>1419.368927</v>
      </c>
      <c r="O289" s="5">
        <v>30.0</v>
      </c>
      <c r="P289" s="5">
        <v>5.0</v>
      </c>
      <c r="Q289" s="6">
        <f t="shared" si="2"/>
        <v>46062</v>
      </c>
      <c r="R289" s="24" t="s">
        <v>593</v>
      </c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22"/>
      <c r="B290" s="23" t="s">
        <v>594</v>
      </c>
      <c r="C290" s="5" t="s">
        <v>115</v>
      </c>
      <c r="D290" s="5">
        <v>3.0</v>
      </c>
      <c r="E290" s="5">
        <v>18.0</v>
      </c>
      <c r="F290" s="5">
        <f t="shared" si="1"/>
        <v>54</v>
      </c>
      <c r="G290" s="14">
        <v>1.0</v>
      </c>
      <c r="H290" s="5" t="s">
        <v>396</v>
      </c>
      <c r="I290" s="5" t="s">
        <v>117</v>
      </c>
      <c r="J290" s="5" t="s">
        <v>118</v>
      </c>
      <c r="K290" s="5">
        <v>2800.0</v>
      </c>
      <c r="L290" s="5">
        <v>1500.0</v>
      </c>
      <c r="M290" s="5">
        <v>128000.0</v>
      </c>
      <c r="N290" s="5">
        <f>M290/'Input Costs'!$B$6</f>
        <v>1397.532482</v>
      </c>
      <c r="O290" s="5">
        <v>30.0</v>
      </c>
      <c r="P290" s="5">
        <v>5.0</v>
      </c>
      <c r="Q290" s="6">
        <f t="shared" si="2"/>
        <v>46062</v>
      </c>
      <c r="R290" s="24" t="s">
        <v>593</v>
      </c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22"/>
      <c r="B291" s="23" t="s">
        <v>595</v>
      </c>
      <c r="C291" s="5" t="s">
        <v>115</v>
      </c>
      <c r="D291" s="5">
        <v>3.0</v>
      </c>
      <c r="E291" s="5">
        <v>20.0</v>
      </c>
      <c r="F291" s="5">
        <f t="shared" si="1"/>
        <v>60</v>
      </c>
      <c r="G291" s="14">
        <v>1.0</v>
      </c>
      <c r="H291" s="5" t="s">
        <v>396</v>
      </c>
      <c r="I291" s="5" t="s">
        <v>117</v>
      </c>
      <c r="J291" s="5" t="s">
        <v>118</v>
      </c>
      <c r="K291" s="5">
        <v>2800.0</v>
      </c>
      <c r="L291" s="5">
        <v>1500.0</v>
      </c>
      <c r="M291" s="5">
        <v>125000.0</v>
      </c>
      <c r="N291" s="5">
        <f>M291/'Input Costs'!$B$6</f>
        <v>1364.777814</v>
      </c>
      <c r="O291" s="5">
        <v>30.0</v>
      </c>
      <c r="P291" s="5">
        <v>5.0</v>
      </c>
      <c r="Q291" s="6">
        <f t="shared" si="2"/>
        <v>46062</v>
      </c>
      <c r="R291" s="24" t="s">
        <v>596</v>
      </c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22"/>
      <c r="B292" s="23" t="s">
        <v>597</v>
      </c>
      <c r="C292" s="5" t="s">
        <v>115</v>
      </c>
      <c r="D292" s="5">
        <v>3.0</v>
      </c>
      <c r="E292" s="5">
        <v>22.0</v>
      </c>
      <c r="F292" s="5">
        <f t="shared" si="1"/>
        <v>66</v>
      </c>
      <c r="G292" s="14">
        <v>1.0</v>
      </c>
      <c r="H292" s="5" t="s">
        <v>396</v>
      </c>
      <c r="I292" s="5" t="s">
        <v>117</v>
      </c>
      <c r="J292" s="5" t="s">
        <v>118</v>
      </c>
      <c r="K292" s="5">
        <v>2800.0</v>
      </c>
      <c r="L292" s="5">
        <v>1500.0</v>
      </c>
      <c r="M292" s="5">
        <v>122000.0</v>
      </c>
      <c r="N292" s="5">
        <f>M292/'Input Costs'!$B$6</f>
        <v>1332.023147</v>
      </c>
      <c r="O292" s="5">
        <v>30.0</v>
      </c>
      <c r="P292" s="5">
        <v>5.0</v>
      </c>
      <c r="Q292" s="6">
        <f t="shared" si="2"/>
        <v>46062</v>
      </c>
      <c r="R292" s="24" t="s">
        <v>596</v>
      </c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22"/>
      <c r="B293" s="23" t="s">
        <v>598</v>
      </c>
      <c r="C293" s="5" t="s">
        <v>115</v>
      </c>
      <c r="D293" s="5">
        <v>3.0</v>
      </c>
      <c r="E293" s="5">
        <v>17.0</v>
      </c>
      <c r="F293" s="5">
        <f t="shared" si="1"/>
        <v>51</v>
      </c>
      <c r="G293" s="14">
        <v>1.0</v>
      </c>
      <c r="H293" s="5" t="s">
        <v>396</v>
      </c>
      <c r="I293" s="5" t="s">
        <v>117</v>
      </c>
      <c r="J293" s="5" t="s">
        <v>150</v>
      </c>
      <c r="K293" s="5">
        <v>2800.0</v>
      </c>
      <c r="L293" s="5">
        <v>1500.0</v>
      </c>
      <c r="M293" s="5">
        <v>140000.0</v>
      </c>
      <c r="N293" s="5">
        <f>M293/'Input Costs'!$B$6</f>
        <v>1528.551152</v>
      </c>
      <c r="O293" s="5">
        <v>35.0</v>
      </c>
      <c r="P293" s="5">
        <v>5.0</v>
      </c>
      <c r="Q293" s="6">
        <f t="shared" si="2"/>
        <v>46062</v>
      </c>
      <c r="R293" s="24" t="s">
        <v>599</v>
      </c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22"/>
      <c r="B294" s="23" t="s">
        <v>600</v>
      </c>
      <c r="C294" s="5" t="s">
        <v>115</v>
      </c>
      <c r="D294" s="5">
        <v>3.0</v>
      </c>
      <c r="E294" s="5">
        <v>18.0</v>
      </c>
      <c r="F294" s="5">
        <f t="shared" si="1"/>
        <v>54</v>
      </c>
      <c r="G294" s="14">
        <v>1.0</v>
      </c>
      <c r="H294" s="5" t="s">
        <v>396</v>
      </c>
      <c r="I294" s="5" t="s">
        <v>117</v>
      </c>
      <c r="J294" s="5" t="s">
        <v>150</v>
      </c>
      <c r="K294" s="5">
        <v>2800.0</v>
      </c>
      <c r="L294" s="5">
        <v>1500.0</v>
      </c>
      <c r="M294" s="5">
        <v>138000.0</v>
      </c>
      <c r="N294" s="5">
        <f>M294/'Input Costs'!$B$6</f>
        <v>1506.714707</v>
      </c>
      <c r="O294" s="5">
        <v>35.0</v>
      </c>
      <c r="P294" s="5">
        <v>5.0</v>
      </c>
      <c r="Q294" s="6">
        <f t="shared" si="2"/>
        <v>46062</v>
      </c>
      <c r="R294" s="24" t="s">
        <v>599</v>
      </c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25"/>
      <c r="B295" s="23" t="s">
        <v>601</v>
      </c>
      <c r="C295" s="5" t="s">
        <v>115</v>
      </c>
      <c r="D295" s="5">
        <v>3.0</v>
      </c>
      <c r="E295" s="5">
        <v>20.0</v>
      </c>
      <c r="F295" s="5">
        <f t="shared" si="1"/>
        <v>60</v>
      </c>
      <c r="G295" s="14">
        <v>1.0</v>
      </c>
      <c r="H295" s="5" t="s">
        <v>396</v>
      </c>
      <c r="I295" s="5" t="s">
        <v>117</v>
      </c>
      <c r="J295" s="5" t="s">
        <v>150</v>
      </c>
      <c r="K295" s="5">
        <v>2800.0</v>
      </c>
      <c r="L295" s="5">
        <v>1500.0</v>
      </c>
      <c r="M295" s="5">
        <v>135000.0</v>
      </c>
      <c r="N295" s="5">
        <f>M295/'Input Costs'!$B$6</f>
        <v>1473.960039</v>
      </c>
      <c r="O295" s="5">
        <v>35.0</v>
      </c>
      <c r="P295" s="5">
        <v>5.0</v>
      </c>
      <c r="Q295" s="6">
        <f t="shared" si="2"/>
        <v>46062</v>
      </c>
      <c r="R295" s="24" t="s">
        <v>599</v>
      </c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16" t="s">
        <v>602</v>
      </c>
      <c r="B296" s="23" t="s">
        <v>603</v>
      </c>
      <c r="C296" s="5" t="s">
        <v>115</v>
      </c>
      <c r="D296" s="5">
        <v>3.0</v>
      </c>
      <c r="E296" s="5">
        <v>14.0</v>
      </c>
      <c r="F296" s="5">
        <f t="shared" si="1"/>
        <v>42</v>
      </c>
      <c r="G296" s="14">
        <v>1.0</v>
      </c>
      <c r="H296" s="5" t="s">
        <v>293</v>
      </c>
      <c r="I296" s="5" t="s">
        <v>222</v>
      </c>
      <c r="J296" s="5" t="s">
        <v>118</v>
      </c>
      <c r="K296" s="5">
        <v>2800.0</v>
      </c>
      <c r="L296" s="5">
        <v>1500.0</v>
      </c>
      <c r="M296" s="5">
        <v>117000.0</v>
      </c>
      <c r="N296" s="5">
        <f>M296/'Input Costs'!$B$6</f>
        <v>1277.432034</v>
      </c>
      <c r="O296" s="5">
        <v>28.0</v>
      </c>
      <c r="P296" s="5">
        <v>5.0</v>
      </c>
      <c r="Q296" s="6">
        <f t="shared" si="2"/>
        <v>46062</v>
      </c>
      <c r="R296" s="24" t="s">
        <v>604</v>
      </c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22"/>
      <c r="B297" s="23" t="s">
        <v>605</v>
      </c>
      <c r="C297" s="5" t="s">
        <v>115</v>
      </c>
      <c r="D297" s="5">
        <v>3.0</v>
      </c>
      <c r="E297" s="5">
        <v>15.0</v>
      </c>
      <c r="F297" s="5">
        <f t="shared" si="1"/>
        <v>45</v>
      </c>
      <c r="G297" s="14">
        <v>1.0</v>
      </c>
      <c r="H297" s="5" t="s">
        <v>293</v>
      </c>
      <c r="I297" s="5" t="s">
        <v>222</v>
      </c>
      <c r="J297" s="5" t="s">
        <v>118</v>
      </c>
      <c r="K297" s="5">
        <v>2800.0</v>
      </c>
      <c r="L297" s="5">
        <v>1500.0</v>
      </c>
      <c r="M297" s="5">
        <v>114000.0</v>
      </c>
      <c r="N297" s="5">
        <f>M297/'Input Costs'!$B$6</f>
        <v>1244.677367</v>
      </c>
      <c r="O297" s="5">
        <v>28.0</v>
      </c>
      <c r="P297" s="5">
        <v>5.0</v>
      </c>
      <c r="Q297" s="6">
        <f t="shared" si="2"/>
        <v>46062</v>
      </c>
      <c r="R297" s="24" t="s">
        <v>606</v>
      </c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22"/>
      <c r="B298" s="23" t="s">
        <v>607</v>
      </c>
      <c r="C298" s="5" t="s">
        <v>115</v>
      </c>
      <c r="D298" s="5">
        <v>3.0</v>
      </c>
      <c r="E298" s="5">
        <v>16.0</v>
      </c>
      <c r="F298" s="5">
        <f t="shared" si="1"/>
        <v>48</v>
      </c>
      <c r="G298" s="14">
        <v>1.0</v>
      </c>
      <c r="H298" s="5" t="s">
        <v>293</v>
      </c>
      <c r="I298" s="5" t="s">
        <v>222</v>
      </c>
      <c r="J298" s="5" t="s">
        <v>118</v>
      </c>
      <c r="K298" s="5">
        <v>2800.0</v>
      </c>
      <c r="L298" s="5">
        <v>1500.0</v>
      </c>
      <c r="M298" s="5">
        <v>112000.0</v>
      </c>
      <c r="N298" s="5">
        <f>M298/'Input Costs'!$B$6</f>
        <v>1222.840921</v>
      </c>
      <c r="O298" s="5">
        <v>28.0</v>
      </c>
      <c r="P298" s="5">
        <v>5.0</v>
      </c>
      <c r="Q298" s="6">
        <f t="shared" si="2"/>
        <v>46062</v>
      </c>
      <c r="R298" s="24" t="s">
        <v>608</v>
      </c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22"/>
      <c r="B299" s="23" t="s">
        <v>609</v>
      </c>
      <c r="C299" s="5" t="s">
        <v>115</v>
      </c>
      <c r="D299" s="5">
        <v>3.0</v>
      </c>
      <c r="E299" s="5">
        <v>17.0</v>
      </c>
      <c r="F299" s="5">
        <f t="shared" si="1"/>
        <v>51</v>
      </c>
      <c r="G299" s="14">
        <v>1.0</v>
      </c>
      <c r="H299" s="5" t="s">
        <v>293</v>
      </c>
      <c r="I299" s="5" t="s">
        <v>222</v>
      </c>
      <c r="J299" s="5" t="s">
        <v>118</v>
      </c>
      <c r="K299" s="5">
        <v>2800.0</v>
      </c>
      <c r="L299" s="5">
        <v>1500.0</v>
      </c>
      <c r="M299" s="5">
        <v>110000.0</v>
      </c>
      <c r="N299" s="5">
        <f>M299/'Input Costs'!$B$6</f>
        <v>1201.004476</v>
      </c>
      <c r="O299" s="5">
        <v>28.0</v>
      </c>
      <c r="P299" s="5">
        <v>5.0</v>
      </c>
      <c r="Q299" s="6">
        <f t="shared" si="2"/>
        <v>46062</v>
      </c>
      <c r="R299" s="24" t="s">
        <v>608</v>
      </c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22"/>
      <c r="B300" s="23" t="s">
        <v>610</v>
      </c>
      <c r="C300" s="5" t="s">
        <v>115</v>
      </c>
      <c r="D300" s="5">
        <v>3.0</v>
      </c>
      <c r="E300" s="5">
        <v>18.0</v>
      </c>
      <c r="F300" s="5">
        <f t="shared" si="1"/>
        <v>54</v>
      </c>
      <c r="G300" s="14">
        <v>1.0</v>
      </c>
      <c r="H300" s="5" t="s">
        <v>293</v>
      </c>
      <c r="I300" s="5" t="s">
        <v>222</v>
      </c>
      <c r="J300" s="5" t="s">
        <v>118</v>
      </c>
      <c r="K300" s="5">
        <v>2800.0</v>
      </c>
      <c r="L300" s="5">
        <v>1500.0</v>
      </c>
      <c r="M300" s="5">
        <v>108000.0</v>
      </c>
      <c r="N300" s="5">
        <f>M300/'Input Costs'!$B$6</f>
        <v>1179.168031</v>
      </c>
      <c r="O300" s="5">
        <v>28.0</v>
      </c>
      <c r="P300" s="5">
        <v>5.0</v>
      </c>
      <c r="Q300" s="6">
        <f t="shared" si="2"/>
        <v>46062</v>
      </c>
      <c r="R300" s="24" t="s">
        <v>611</v>
      </c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22"/>
      <c r="B301" s="23" t="s">
        <v>612</v>
      </c>
      <c r="C301" s="5" t="s">
        <v>115</v>
      </c>
      <c r="D301" s="5">
        <v>3.0</v>
      </c>
      <c r="E301" s="5">
        <v>20.0</v>
      </c>
      <c r="F301" s="5">
        <f t="shared" si="1"/>
        <v>60</v>
      </c>
      <c r="G301" s="14">
        <v>1.0</v>
      </c>
      <c r="H301" s="5" t="s">
        <v>293</v>
      </c>
      <c r="I301" s="5" t="s">
        <v>222</v>
      </c>
      <c r="J301" s="5" t="s">
        <v>118</v>
      </c>
      <c r="K301" s="5">
        <v>2800.0</v>
      </c>
      <c r="L301" s="5">
        <v>1500.0</v>
      </c>
      <c r="M301" s="5">
        <v>105000.0</v>
      </c>
      <c r="N301" s="5">
        <f>M301/'Input Costs'!$B$6</f>
        <v>1146.413364</v>
      </c>
      <c r="O301" s="5">
        <v>28.0</v>
      </c>
      <c r="P301" s="5">
        <v>5.0</v>
      </c>
      <c r="Q301" s="6">
        <f t="shared" si="2"/>
        <v>46062</v>
      </c>
      <c r="R301" s="24" t="s">
        <v>613</v>
      </c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22"/>
      <c r="B302" s="23" t="s">
        <v>614</v>
      </c>
      <c r="C302" s="5" t="s">
        <v>115</v>
      </c>
      <c r="D302" s="5">
        <v>3.0</v>
      </c>
      <c r="E302" s="5">
        <v>15.0</v>
      </c>
      <c r="F302" s="5">
        <f t="shared" si="1"/>
        <v>45</v>
      </c>
      <c r="G302" s="14">
        <v>1.0</v>
      </c>
      <c r="H302" s="5" t="s">
        <v>293</v>
      </c>
      <c r="I302" s="5" t="s">
        <v>222</v>
      </c>
      <c r="J302" s="5" t="s">
        <v>150</v>
      </c>
      <c r="K302" s="5">
        <v>2800.0</v>
      </c>
      <c r="L302" s="5">
        <v>1500.0</v>
      </c>
      <c r="M302" s="5">
        <v>128000.0</v>
      </c>
      <c r="N302" s="5">
        <f>M302/'Input Costs'!$B$6</f>
        <v>1397.532482</v>
      </c>
      <c r="O302" s="5">
        <v>30.0</v>
      </c>
      <c r="P302" s="5">
        <v>5.0</v>
      </c>
      <c r="Q302" s="6">
        <f t="shared" si="2"/>
        <v>46062</v>
      </c>
      <c r="R302" s="24" t="s">
        <v>615</v>
      </c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22"/>
      <c r="B303" s="23" t="s">
        <v>616</v>
      </c>
      <c r="C303" s="5" t="s">
        <v>115</v>
      </c>
      <c r="D303" s="5">
        <v>3.0</v>
      </c>
      <c r="E303" s="5">
        <v>17.0</v>
      </c>
      <c r="F303" s="5">
        <f t="shared" si="1"/>
        <v>51</v>
      </c>
      <c r="G303" s="14">
        <v>1.0</v>
      </c>
      <c r="H303" s="5" t="s">
        <v>293</v>
      </c>
      <c r="I303" s="5" t="s">
        <v>222</v>
      </c>
      <c r="J303" s="5" t="s">
        <v>150</v>
      </c>
      <c r="K303" s="5">
        <v>2800.0</v>
      </c>
      <c r="L303" s="5">
        <v>1500.0</v>
      </c>
      <c r="M303" s="5">
        <v>124000.0</v>
      </c>
      <c r="N303" s="5">
        <f>M303/'Input Costs'!$B$6</f>
        <v>1353.859592</v>
      </c>
      <c r="O303" s="5">
        <v>30.0</v>
      </c>
      <c r="P303" s="5">
        <v>5.0</v>
      </c>
      <c r="Q303" s="6">
        <f t="shared" si="2"/>
        <v>46062</v>
      </c>
      <c r="R303" s="24" t="s">
        <v>615</v>
      </c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22"/>
      <c r="B304" s="23" t="s">
        <v>617</v>
      </c>
      <c r="C304" s="5" t="s">
        <v>115</v>
      </c>
      <c r="D304" s="5">
        <v>3.0</v>
      </c>
      <c r="E304" s="5">
        <v>18.0</v>
      </c>
      <c r="F304" s="5">
        <f t="shared" si="1"/>
        <v>54</v>
      </c>
      <c r="G304" s="14">
        <v>1.0</v>
      </c>
      <c r="H304" s="5" t="s">
        <v>293</v>
      </c>
      <c r="I304" s="5" t="s">
        <v>222</v>
      </c>
      <c r="J304" s="5" t="s">
        <v>150</v>
      </c>
      <c r="K304" s="5">
        <v>2800.0</v>
      </c>
      <c r="L304" s="5">
        <v>1500.0</v>
      </c>
      <c r="M304" s="5">
        <v>122000.0</v>
      </c>
      <c r="N304" s="5">
        <f>M304/'Input Costs'!$B$6</f>
        <v>1332.023147</v>
      </c>
      <c r="O304" s="5">
        <v>30.0</v>
      </c>
      <c r="P304" s="5">
        <v>5.0</v>
      </c>
      <c r="Q304" s="6">
        <f t="shared" si="2"/>
        <v>46062</v>
      </c>
      <c r="R304" s="24" t="s">
        <v>615</v>
      </c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22"/>
      <c r="B305" s="23" t="s">
        <v>618</v>
      </c>
      <c r="C305" s="5" t="s">
        <v>115</v>
      </c>
      <c r="D305" s="5">
        <v>3.0</v>
      </c>
      <c r="E305" s="5">
        <v>17.0</v>
      </c>
      <c r="F305" s="5">
        <f t="shared" si="1"/>
        <v>51</v>
      </c>
      <c r="G305" s="14">
        <v>1.0</v>
      </c>
      <c r="H305" s="5" t="s">
        <v>396</v>
      </c>
      <c r="I305" s="5" t="s">
        <v>222</v>
      </c>
      <c r="J305" s="5" t="s">
        <v>118</v>
      </c>
      <c r="K305" s="5">
        <v>2800.0</v>
      </c>
      <c r="L305" s="5">
        <v>1500.0</v>
      </c>
      <c r="M305" s="5">
        <v>126000.0</v>
      </c>
      <c r="N305" s="5">
        <f>M305/'Input Costs'!$B$6</f>
        <v>1375.696037</v>
      </c>
      <c r="O305" s="5">
        <v>30.0</v>
      </c>
      <c r="P305" s="5">
        <v>5.0</v>
      </c>
      <c r="Q305" s="6">
        <f t="shared" si="2"/>
        <v>46062</v>
      </c>
      <c r="R305" s="24" t="s">
        <v>619</v>
      </c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25"/>
      <c r="B306" s="23" t="s">
        <v>620</v>
      </c>
      <c r="C306" s="5" t="s">
        <v>115</v>
      </c>
      <c r="D306" s="5">
        <v>3.0</v>
      </c>
      <c r="E306" s="5">
        <v>18.0</v>
      </c>
      <c r="F306" s="5">
        <f t="shared" si="1"/>
        <v>54</v>
      </c>
      <c r="G306" s="14">
        <v>1.0</v>
      </c>
      <c r="H306" s="5" t="s">
        <v>396</v>
      </c>
      <c r="I306" s="5" t="s">
        <v>222</v>
      </c>
      <c r="J306" s="5" t="s">
        <v>118</v>
      </c>
      <c r="K306" s="5">
        <v>2800.0</v>
      </c>
      <c r="L306" s="5">
        <v>1500.0</v>
      </c>
      <c r="M306" s="5">
        <v>124000.0</v>
      </c>
      <c r="N306" s="5">
        <f>M306/'Input Costs'!$B$6</f>
        <v>1353.859592</v>
      </c>
      <c r="O306" s="5">
        <v>30.0</v>
      </c>
      <c r="P306" s="5">
        <v>5.0</v>
      </c>
      <c r="Q306" s="6">
        <f t="shared" si="2"/>
        <v>46062</v>
      </c>
      <c r="R306" s="24" t="s">
        <v>619</v>
      </c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16" t="s">
        <v>621</v>
      </c>
      <c r="B307" s="23" t="s">
        <v>622</v>
      </c>
      <c r="C307" s="5" t="s">
        <v>115</v>
      </c>
      <c r="D307" s="5">
        <v>3.0</v>
      </c>
      <c r="E307" s="5">
        <v>15.0</v>
      </c>
      <c r="F307" s="5">
        <f t="shared" si="1"/>
        <v>45</v>
      </c>
      <c r="G307" s="14">
        <v>1.0</v>
      </c>
      <c r="H307" s="5" t="s">
        <v>293</v>
      </c>
      <c r="I307" s="5" t="s">
        <v>236</v>
      </c>
      <c r="J307" s="5" t="s">
        <v>118</v>
      </c>
      <c r="K307" s="5">
        <v>2800.0</v>
      </c>
      <c r="L307" s="5">
        <v>1500.0</v>
      </c>
      <c r="M307" s="5">
        <v>130000.0</v>
      </c>
      <c r="N307" s="5">
        <f>M307/'Input Costs'!$B$6</f>
        <v>1419.368927</v>
      </c>
      <c r="O307" s="5">
        <v>35.0</v>
      </c>
      <c r="P307" s="5">
        <v>5.0</v>
      </c>
      <c r="Q307" s="6">
        <f t="shared" si="2"/>
        <v>46062</v>
      </c>
      <c r="R307" s="24" t="s">
        <v>623</v>
      </c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22"/>
      <c r="B308" s="23" t="s">
        <v>624</v>
      </c>
      <c r="C308" s="5" t="s">
        <v>115</v>
      </c>
      <c r="D308" s="5">
        <v>3.0</v>
      </c>
      <c r="E308" s="5">
        <v>16.0</v>
      </c>
      <c r="F308" s="5">
        <f t="shared" si="1"/>
        <v>48</v>
      </c>
      <c r="G308" s="14">
        <v>1.0</v>
      </c>
      <c r="H308" s="5" t="s">
        <v>293</v>
      </c>
      <c r="I308" s="5" t="s">
        <v>236</v>
      </c>
      <c r="J308" s="5" t="s">
        <v>118</v>
      </c>
      <c r="K308" s="5">
        <v>2800.0</v>
      </c>
      <c r="L308" s="5">
        <v>1500.0</v>
      </c>
      <c r="M308" s="5">
        <v>128000.0</v>
      </c>
      <c r="N308" s="5">
        <f>M308/'Input Costs'!$B$6</f>
        <v>1397.532482</v>
      </c>
      <c r="O308" s="5">
        <v>35.0</v>
      </c>
      <c r="P308" s="5">
        <v>5.0</v>
      </c>
      <c r="Q308" s="6">
        <f t="shared" si="2"/>
        <v>46062</v>
      </c>
      <c r="R308" s="24" t="s">
        <v>623</v>
      </c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22"/>
      <c r="B309" s="23" t="s">
        <v>625</v>
      </c>
      <c r="C309" s="5" t="s">
        <v>115</v>
      </c>
      <c r="D309" s="5">
        <v>3.0</v>
      </c>
      <c r="E309" s="5">
        <v>17.0</v>
      </c>
      <c r="F309" s="5">
        <f t="shared" si="1"/>
        <v>51</v>
      </c>
      <c r="G309" s="14">
        <v>1.0</v>
      </c>
      <c r="H309" s="5" t="s">
        <v>293</v>
      </c>
      <c r="I309" s="5" t="s">
        <v>236</v>
      </c>
      <c r="J309" s="5" t="s">
        <v>118</v>
      </c>
      <c r="K309" s="5">
        <v>2800.0</v>
      </c>
      <c r="L309" s="5">
        <v>1500.0</v>
      </c>
      <c r="M309" s="5">
        <v>126000.0</v>
      </c>
      <c r="N309" s="5">
        <f>M309/'Input Costs'!$B$6</f>
        <v>1375.696037</v>
      </c>
      <c r="O309" s="5">
        <v>35.0</v>
      </c>
      <c r="P309" s="5">
        <v>5.0</v>
      </c>
      <c r="Q309" s="6">
        <f t="shared" si="2"/>
        <v>46062</v>
      </c>
      <c r="R309" s="24" t="s">
        <v>623</v>
      </c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22"/>
      <c r="B310" s="23" t="s">
        <v>626</v>
      </c>
      <c r="C310" s="5" t="s">
        <v>115</v>
      </c>
      <c r="D310" s="5">
        <v>3.0</v>
      </c>
      <c r="E310" s="5">
        <v>18.0</v>
      </c>
      <c r="F310" s="5">
        <f t="shared" si="1"/>
        <v>54</v>
      </c>
      <c r="G310" s="14">
        <v>1.0</v>
      </c>
      <c r="H310" s="5" t="s">
        <v>293</v>
      </c>
      <c r="I310" s="5" t="s">
        <v>236</v>
      </c>
      <c r="J310" s="5" t="s">
        <v>118</v>
      </c>
      <c r="K310" s="5">
        <v>2800.0</v>
      </c>
      <c r="L310" s="5">
        <v>1500.0</v>
      </c>
      <c r="M310" s="5">
        <v>124000.0</v>
      </c>
      <c r="N310" s="5">
        <f>M310/'Input Costs'!$B$6</f>
        <v>1353.859592</v>
      </c>
      <c r="O310" s="5">
        <v>35.0</v>
      </c>
      <c r="P310" s="5">
        <v>5.0</v>
      </c>
      <c r="Q310" s="6">
        <f t="shared" si="2"/>
        <v>46062</v>
      </c>
      <c r="R310" s="24" t="s">
        <v>627</v>
      </c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22"/>
      <c r="B311" s="23" t="s">
        <v>628</v>
      </c>
      <c r="C311" s="5" t="s">
        <v>115</v>
      </c>
      <c r="D311" s="5">
        <v>3.0</v>
      </c>
      <c r="E311" s="5">
        <v>20.0</v>
      </c>
      <c r="F311" s="5">
        <f t="shared" si="1"/>
        <v>60</v>
      </c>
      <c r="G311" s="14">
        <v>1.0</v>
      </c>
      <c r="H311" s="5" t="s">
        <v>293</v>
      </c>
      <c r="I311" s="5" t="s">
        <v>236</v>
      </c>
      <c r="J311" s="5" t="s">
        <v>118</v>
      </c>
      <c r="K311" s="5">
        <v>2800.0</v>
      </c>
      <c r="L311" s="5">
        <v>1500.0</v>
      </c>
      <c r="M311" s="5">
        <v>121000.0</v>
      </c>
      <c r="N311" s="5">
        <f>M311/'Input Costs'!$B$6</f>
        <v>1321.104924</v>
      </c>
      <c r="O311" s="5">
        <v>35.0</v>
      </c>
      <c r="P311" s="5">
        <v>5.0</v>
      </c>
      <c r="Q311" s="6">
        <f t="shared" si="2"/>
        <v>46062</v>
      </c>
      <c r="R311" s="24" t="s">
        <v>623</v>
      </c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22"/>
      <c r="B312" s="23" t="s">
        <v>629</v>
      </c>
      <c r="C312" s="5" t="s">
        <v>115</v>
      </c>
      <c r="D312" s="5">
        <v>3.0</v>
      </c>
      <c r="E312" s="5">
        <v>15.0</v>
      </c>
      <c r="F312" s="5">
        <f t="shared" si="1"/>
        <v>45</v>
      </c>
      <c r="G312" s="14">
        <v>1.0</v>
      </c>
      <c r="H312" s="5" t="s">
        <v>293</v>
      </c>
      <c r="I312" s="5" t="s">
        <v>236</v>
      </c>
      <c r="J312" s="5" t="s">
        <v>150</v>
      </c>
      <c r="K312" s="5">
        <v>2800.0</v>
      </c>
      <c r="L312" s="5">
        <v>1500.0</v>
      </c>
      <c r="M312" s="5">
        <v>142000.0</v>
      </c>
      <c r="N312" s="5">
        <f>M312/'Input Costs'!$B$6</f>
        <v>1550.387597</v>
      </c>
      <c r="O312" s="5">
        <v>35.0</v>
      </c>
      <c r="P312" s="5">
        <v>5.0</v>
      </c>
      <c r="Q312" s="6">
        <f t="shared" si="2"/>
        <v>46062</v>
      </c>
      <c r="R312" s="24" t="s">
        <v>630</v>
      </c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22"/>
      <c r="B313" s="23" t="s">
        <v>631</v>
      </c>
      <c r="C313" s="5" t="s">
        <v>115</v>
      </c>
      <c r="D313" s="5">
        <v>3.0</v>
      </c>
      <c r="E313" s="5">
        <v>17.0</v>
      </c>
      <c r="F313" s="5">
        <f t="shared" si="1"/>
        <v>51</v>
      </c>
      <c r="G313" s="14">
        <v>1.0</v>
      </c>
      <c r="H313" s="5" t="s">
        <v>293</v>
      </c>
      <c r="I313" s="5" t="s">
        <v>236</v>
      </c>
      <c r="J313" s="5" t="s">
        <v>150</v>
      </c>
      <c r="K313" s="5">
        <v>2800.0</v>
      </c>
      <c r="L313" s="5">
        <v>1500.0</v>
      </c>
      <c r="M313" s="5">
        <v>138000.0</v>
      </c>
      <c r="N313" s="5">
        <f>M313/'Input Costs'!$B$6</f>
        <v>1506.714707</v>
      </c>
      <c r="O313" s="5">
        <v>35.0</v>
      </c>
      <c r="P313" s="5">
        <v>5.0</v>
      </c>
      <c r="Q313" s="6">
        <f t="shared" si="2"/>
        <v>46062</v>
      </c>
      <c r="R313" s="24" t="s">
        <v>630</v>
      </c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25"/>
      <c r="B314" s="23" t="s">
        <v>632</v>
      </c>
      <c r="C314" s="5" t="s">
        <v>115</v>
      </c>
      <c r="D314" s="5">
        <v>3.0</v>
      </c>
      <c r="E314" s="5">
        <v>18.0</v>
      </c>
      <c r="F314" s="5">
        <f t="shared" si="1"/>
        <v>54</v>
      </c>
      <c r="G314" s="14">
        <v>1.0</v>
      </c>
      <c r="H314" s="5" t="s">
        <v>293</v>
      </c>
      <c r="I314" s="5" t="s">
        <v>236</v>
      </c>
      <c r="J314" s="5" t="s">
        <v>150</v>
      </c>
      <c r="K314" s="5">
        <v>2800.0</v>
      </c>
      <c r="L314" s="5">
        <v>1500.0</v>
      </c>
      <c r="M314" s="5">
        <v>136000.0</v>
      </c>
      <c r="N314" s="5">
        <f>M314/'Input Costs'!$B$6</f>
        <v>1484.878262</v>
      </c>
      <c r="O314" s="5">
        <v>35.0</v>
      </c>
      <c r="P314" s="5">
        <v>5.0</v>
      </c>
      <c r="Q314" s="6">
        <f t="shared" si="2"/>
        <v>46062</v>
      </c>
      <c r="R314" s="24" t="s">
        <v>630</v>
      </c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16" t="s">
        <v>633</v>
      </c>
      <c r="B315" s="23" t="s">
        <v>634</v>
      </c>
      <c r="C315" s="5" t="s">
        <v>246</v>
      </c>
      <c r="D315" s="5">
        <v>3.0</v>
      </c>
      <c r="E315" s="5">
        <v>14.0</v>
      </c>
      <c r="F315" s="5">
        <f t="shared" si="1"/>
        <v>42</v>
      </c>
      <c r="G315" s="14">
        <v>1.0</v>
      </c>
      <c r="H315" s="5" t="s">
        <v>293</v>
      </c>
      <c r="I315" s="5" t="s">
        <v>117</v>
      </c>
      <c r="J315" s="5" t="s">
        <v>118</v>
      </c>
      <c r="K315" s="5">
        <v>2700.0</v>
      </c>
      <c r="L315" s="5">
        <v>1400.0</v>
      </c>
      <c r="M315" s="5">
        <v>120000.0</v>
      </c>
      <c r="N315" s="5">
        <f>M315/'Input Costs'!$B$6</f>
        <v>1310.186702</v>
      </c>
      <c r="O315" s="5">
        <v>25.0</v>
      </c>
      <c r="P315" s="5">
        <v>3.0</v>
      </c>
      <c r="Q315" s="6">
        <f t="shared" si="2"/>
        <v>46062</v>
      </c>
      <c r="R315" s="24" t="s">
        <v>635</v>
      </c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22"/>
      <c r="B316" s="23" t="s">
        <v>636</v>
      </c>
      <c r="C316" s="5" t="s">
        <v>246</v>
      </c>
      <c r="D316" s="5">
        <v>3.0</v>
      </c>
      <c r="E316" s="5">
        <v>15.0</v>
      </c>
      <c r="F316" s="5">
        <f t="shared" si="1"/>
        <v>45</v>
      </c>
      <c r="G316" s="14">
        <v>1.0</v>
      </c>
      <c r="H316" s="5" t="s">
        <v>293</v>
      </c>
      <c r="I316" s="5" t="s">
        <v>117</v>
      </c>
      <c r="J316" s="5" t="s">
        <v>118</v>
      </c>
      <c r="K316" s="5">
        <v>2700.0</v>
      </c>
      <c r="L316" s="5">
        <v>1400.0</v>
      </c>
      <c r="M316" s="5">
        <v>117000.0</v>
      </c>
      <c r="N316" s="5">
        <f>M316/'Input Costs'!$B$6</f>
        <v>1277.432034</v>
      </c>
      <c r="O316" s="5">
        <v>25.0</v>
      </c>
      <c r="P316" s="5">
        <v>3.0</v>
      </c>
      <c r="Q316" s="6">
        <f t="shared" si="2"/>
        <v>46062</v>
      </c>
      <c r="R316" s="24" t="s">
        <v>635</v>
      </c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22"/>
      <c r="B317" s="23" t="s">
        <v>637</v>
      </c>
      <c r="C317" s="5" t="s">
        <v>246</v>
      </c>
      <c r="D317" s="5">
        <v>3.0</v>
      </c>
      <c r="E317" s="5">
        <v>16.0</v>
      </c>
      <c r="F317" s="5">
        <f t="shared" si="1"/>
        <v>48</v>
      </c>
      <c r="G317" s="14">
        <v>1.0</v>
      </c>
      <c r="H317" s="5" t="s">
        <v>293</v>
      </c>
      <c r="I317" s="5" t="s">
        <v>117</v>
      </c>
      <c r="J317" s="5" t="s">
        <v>118</v>
      </c>
      <c r="K317" s="5">
        <v>2700.0</v>
      </c>
      <c r="L317" s="5">
        <v>1400.0</v>
      </c>
      <c r="M317" s="5">
        <v>115000.0</v>
      </c>
      <c r="N317" s="5">
        <f>M317/'Input Costs'!$B$6</f>
        <v>1255.595589</v>
      </c>
      <c r="O317" s="5">
        <v>25.0</v>
      </c>
      <c r="P317" s="5">
        <v>3.0</v>
      </c>
      <c r="Q317" s="6">
        <f t="shared" si="2"/>
        <v>46062</v>
      </c>
      <c r="R317" s="24" t="s">
        <v>635</v>
      </c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22"/>
      <c r="B318" s="23" t="s">
        <v>638</v>
      </c>
      <c r="C318" s="5" t="s">
        <v>246</v>
      </c>
      <c r="D318" s="5">
        <v>3.0</v>
      </c>
      <c r="E318" s="5">
        <v>17.0</v>
      </c>
      <c r="F318" s="5">
        <f t="shared" si="1"/>
        <v>51</v>
      </c>
      <c r="G318" s="14">
        <v>1.0</v>
      </c>
      <c r="H318" s="5" t="s">
        <v>293</v>
      </c>
      <c r="I318" s="5" t="s">
        <v>117</v>
      </c>
      <c r="J318" s="5" t="s">
        <v>118</v>
      </c>
      <c r="K318" s="5">
        <v>2700.0</v>
      </c>
      <c r="L318" s="5">
        <v>1400.0</v>
      </c>
      <c r="M318" s="5">
        <v>113000.0</v>
      </c>
      <c r="N318" s="5">
        <f>M318/'Input Costs'!$B$6</f>
        <v>1233.759144</v>
      </c>
      <c r="O318" s="5">
        <v>25.0</v>
      </c>
      <c r="P318" s="5">
        <v>3.0</v>
      </c>
      <c r="Q318" s="6">
        <f t="shared" si="2"/>
        <v>46062</v>
      </c>
      <c r="R318" s="24" t="s">
        <v>635</v>
      </c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22"/>
      <c r="B319" s="23" t="s">
        <v>639</v>
      </c>
      <c r="C319" s="5" t="s">
        <v>246</v>
      </c>
      <c r="D319" s="5">
        <v>3.0</v>
      </c>
      <c r="E319" s="5">
        <v>18.0</v>
      </c>
      <c r="F319" s="5">
        <f t="shared" si="1"/>
        <v>54</v>
      </c>
      <c r="G319" s="14">
        <v>1.0</v>
      </c>
      <c r="H319" s="5" t="s">
        <v>293</v>
      </c>
      <c r="I319" s="5" t="s">
        <v>117</v>
      </c>
      <c r="J319" s="5" t="s">
        <v>118</v>
      </c>
      <c r="K319" s="5">
        <v>2700.0</v>
      </c>
      <c r="L319" s="5">
        <v>1400.0</v>
      </c>
      <c r="M319" s="5">
        <v>111000.0</v>
      </c>
      <c r="N319" s="5">
        <f>M319/'Input Costs'!$B$6</f>
        <v>1211.922699</v>
      </c>
      <c r="O319" s="5">
        <v>25.0</v>
      </c>
      <c r="P319" s="5">
        <v>3.0</v>
      </c>
      <c r="Q319" s="6">
        <f t="shared" si="2"/>
        <v>46062</v>
      </c>
      <c r="R319" s="24" t="s">
        <v>635</v>
      </c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22"/>
      <c r="B320" s="23" t="s">
        <v>640</v>
      </c>
      <c r="C320" s="5" t="s">
        <v>246</v>
      </c>
      <c r="D320" s="5">
        <v>3.0</v>
      </c>
      <c r="E320" s="5">
        <v>20.0</v>
      </c>
      <c r="F320" s="5">
        <f t="shared" si="1"/>
        <v>60</v>
      </c>
      <c r="G320" s="14">
        <v>1.0</v>
      </c>
      <c r="H320" s="5" t="s">
        <v>293</v>
      </c>
      <c r="I320" s="5" t="s">
        <v>117</v>
      </c>
      <c r="J320" s="5" t="s">
        <v>118</v>
      </c>
      <c r="K320" s="5">
        <v>2700.0</v>
      </c>
      <c r="L320" s="5">
        <v>1400.0</v>
      </c>
      <c r="M320" s="5">
        <v>108000.0</v>
      </c>
      <c r="N320" s="5">
        <f>M320/'Input Costs'!$B$6</f>
        <v>1179.168031</v>
      </c>
      <c r="O320" s="5">
        <v>25.0</v>
      </c>
      <c r="P320" s="5">
        <v>3.0</v>
      </c>
      <c r="Q320" s="6">
        <f t="shared" si="2"/>
        <v>46062</v>
      </c>
      <c r="R320" s="24" t="s">
        <v>635</v>
      </c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22"/>
      <c r="B321" s="23" t="s">
        <v>641</v>
      </c>
      <c r="C321" s="5" t="s">
        <v>246</v>
      </c>
      <c r="D321" s="5">
        <v>3.0</v>
      </c>
      <c r="E321" s="5">
        <v>15.0</v>
      </c>
      <c r="F321" s="5">
        <f t="shared" si="1"/>
        <v>45</v>
      </c>
      <c r="G321" s="14">
        <v>1.0</v>
      </c>
      <c r="H321" s="5" t="s">
        <v>293</v>
      </c>
      <c r="I321" s="5" t="s">
        <v>117</v>
      </c>
      <c r="J321" s="5" t="s">
        <v>150</v>
      </c>
      <c r="K321" s="5">
        <v>2700.0</v>
      </c>
      <c r="L321" s="5">
        <v>1400.0</v>
      </c>
      <c r="M321" s="5">
        <v>131000.0</v>
      </c>
      <c r="N321" s="5">
        <f>M321/'Input Costs'!$B$6</f>
        <v>1430.287149</v>
      </c>
      <c r="O321" s="5">
        <v>28.0</v>
      </c>
      <c r="P321" s="5">
        <v>3.0</v>
      </c>
      <c r="Q321" s="6">
        <f t="shared" si="2"/>
        <v>46062</v>
      </c>
      <c r="R321" s="24" t="s">
        <v>642</v>
      </c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22"/>
      <c r="B322" s="23" t="s">
        <v>643</v>
      </c>
      <c r="C322" s="5" t="s">
        <v>246</v>
      </c>
      <c r="D322" s="5">
        <v>3.0</v>
      </c>
      <c r="E322" s="5">
        <v>17.0</v>
      </c>
      <c r="F322" s="5">
        <f t="shared" si="1"/>
        <v>51</v>
      </c>
      <c r="G322" s="14">
        <v>1.0</v>
      </c>
      <c r="H322" s="5" t="s">
        <v>293</v>
      </c>
      <c r="I322" s="5" t="s">
        <v>117</v>
      </c>
      <c r="J322" s="5" t="s">
        <v>150</v>
      </c>
      <c r="K322" s="5">
        <v>2700.0</v>
      </c>
      <c r="L322" s="5">
        <v>1400.0</v>
      </c>
      <c r="M322" s="5">
        <v>127000.0</v>
      </c>
      <c r="N322" s="5">
        <f>M322/'Input Costs'!$B$6</f>
        <v>1386.614259</v>
      </c>
      <c r="O322" s="5">
        <v>28.0</v>
      </c>
      <c r="P322" s="5">
        <v>3.0</v>
      </c>
      <c r="Q322" s="6">
        <f t="shared" si="2"/>
        <v>46062</v>
      </c>
      <c r="R322" s="24" t="s">
        <v>642</v>
      </c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22"/>
      <c r="B323" s="23" t="s">
        <v>644</v>
      </c>
      <c r="C323" s="5" t="s">
        <v>246</v>
      </c>
      <c r="D323" s="5">
        <v>3.0</v>
      </c>
      <c r="E323" s="5">
        <v>18.0</v>
      </c>
      <c r="F323" s="5">
        <f t="shared" si="1"/>
        <v>54</v>
      </c>
      <c r="G323" s="14">
        <v>1.0</v>
      </c>
      <c r="H323" s="5" t="s">
        <v>293</v>
      </c>
      <c r="I323" s="5" t="s">
        <v>117</v>
      </c>
      <c r="J323" s="5" t="s">
        <v>150</v>
      </c>
      <c r="K323" s="5">
        <v>2700.0</v>
      </c>
      <c r="L323" s="5">
        <v>1400.0</v>
      </c>
      <c r="M323" s="5">
        <v>125000.0</v>
      </c>
      <c r="N323" s="5">
        <f>M323/'Input Costs'!$B$6</f>
        <v>1364.777814</v>
      </c>
      <c r="O323" s="5">
        <v>28.0</v>
      </c>
      <c r="P323" s="5">
        <v>3.0</v>
      </c>
      <c r="Q323" s="6">
        <f t="shared" si="2"/>
        <v>46062</v>
      </c>
      <c r="R323" s="24" t="s">
        <v>642</v>
      </c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22"/>
      <c r="B324" s="23" t="s">
        <v>645</v>
      </c>
      <c r="C324" s="5" t="s">
        <v>246</v>
      </c>
      <c r="D324" s="5">
        <v>3.0</v>
      </c>
      <c r="E324" s="5">
        <v>15.0</v>
      </c>
      <c r="F324" s="5">
        <f t="shared" si="1"/>
        <v>45</v>
      </c>
      <c r="G324" s="14">
        <v>0.7</v>
      </c>
      <c r="H324" s="5" t="s">
        <v>293</v>
      </c>
      <c r="I324" s="5" t="s">
        <v>117</v>
      </c>
      <c r="J324" s="5" t="s">
        <v>118</v>
      </c>
      <c r="K324" s="5">
        <v>2700.0</v>
      </c>
      <c r="L324" s="5">
        <v>1400.0</v>
      </c>
      <c r="M324" s="5">
        <v>101000.0</v>
      </c>
      <c r="N324" s="5">
        <f>M324/'Input Costs'!$B$6</f>
        <v>1102.740474</v>
      </c>
      <c r="O324" s="5">
        <v>25.0</v>
      </c>
      <c r="P324" s="5">
        <v>3.0</v>
      </c>
      <c r="Q324" s="6">
        <f t="shared" si="2"/>
        <v>46062</v>
      </c>
      <c r="R324" s="24" t="s">
        <v>646</v>
      </c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22"/>
      <c r="B325" s="23" t="s">
        <v>647</v>
      </c>
      <c r="C325" s="5" t="s">
        <v>246</v>
      </c>
      <c r="D325" s="5">
        <v>3.0</v>
      </c>
      <c r="E325" s="5">
        <v>17.0</v>
      </c>
      <c r="F325" s="5">
        <f t="shared" si="1"/>
        <v>51</v>
      </c>
      <c r="G325" s="14">
        <v>0.7</v>
      </c>
      <c r="H325" s="5" t="s">
        <v>293</v>
      </c>
      <c r="I325" s="5" t="s">
        <v>117</v>
      </c>
      <c r="J325" s="5" t="s">
        <v>118</v>
      </c>
      <c r="K325" s="5">
        <v>2700.0</v>
      </c>
      <c r="L325" s="5">
        <v>1400.0</v>
      </c>
      <c r="M325" s="5">
        <v>97000.0</v>
      </c>
      <c r="N325" s="5">
        <f>M325/'Input Costs'!$B$6</f>
        <v>1059.067584</v>
      </c>
      <c r="O325" s="5">
        <v>25.0</v>
      </c>
      <c r="P325" s="5">
        <v>3.0</v>
      </c>
      <c r="Q325" s="6">
        <f t="shared" si="2"/>
        <v>46062</v>
      </c>
      <c r="R325" s="24" t="s">
        <v>646</v>
      </c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22"/>
      <c r="B326" s="23" t="s">
        <v>648</v>
      </c>
      <c r="C326" s="5" t="s">
        <v>246</v>
      </c>
      <c r="D326" s="5">
        <v>3.0</v>
      </c>
      <c r="E326" s="5">
        <v>18.0</v>
      </c>
      <c r="F326" s="5">
        <f t="shared" si="1"/>
        <v>54</v>
      </c>
      <c r="G326" s="14">
        <v>0.7</v>
      </c>
      <c r="H326" s="5" t="s">
        <v>293</v>
      </c>
      <c r="I326" s="5" t="s">
        <v>117</v>
      </c>
      <c r="J326" s="5" t="s">
        <v>118</v>
      </c>
      <c r="K326" s="5">
        <v>2700.0</v>
      </c>
      <c r="L326" s="5">
        <v>1400.0</v>
      </c>
      <c r="M326" s="5">
        <v>95000.0</v>
      </c>
      <c r="N326" s="5">
        <f>M326/'Input Costs'!$B$6</f>
        <v>1037.231139</v>
      </c>
      <c r="O326" s="5">
        <v>25.0</v>
      </c>
      <c r="P326" s="5">
        <v>3.0</v>
      </c>
      <c r="Q326" s="6">
        <f t="shared" si="2"/>
        <v>46062</v>
      </c>
      <c r="R326" s="24" t="s">
        <v>646</v>
      </c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22"/>
      <c r="B327" s="23" t="s">
        <v>649</v>
      </c>
      <c r="C327" s="5" t="s">
        <v>246</v>
      </c>
      <c r="D327" s="5">
        <v>3.0</v>
      </c>
      <c r="E327" s="5">
        <v>17.0</v>
      </c>
      <c r="F327" s="5">
        <f t="shared" si="1"/>
        <v>51</v>
      </c>
      <c r="G327" s="14">
        <v>1.0</v>
      </c>
      <c r="H327" s="5" t="s">
        <v>396</v>
      </c>
      <c r="I327" s="5" t="s">
        <v>117</v>
      </c>
      <c r="J327" s="5" t="s">
        <v>118</v>
      </c>
      <c r="K327" s="5">
        <v>2700.0</v>
      </c>
      <c r="L327" s="5">
        <v>1400.0</v>
      </c>
      <c r="M327" s="5">
        <v>128000.0</v>
      </c>
      <c r="N327" s="5">
        <f>M327/'Input Costs'!$B$6</f>
        <v>1397.532482</v>
      </c>
      <c r="O327" s="5">
        <v>28.0</v>
      </c>
      <c r="P327" s="5">
        <v>3.0</v>
      </c>
      <c r="Q327" s="6">
        <f t="shared" si="2"/>
        <v>46062</v>
      </c>
      <c r="R327" s="24" t="s">
        <v>650</v>
      </c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25"/>
      <c r="B328" s="23" t="s">
        <v>651</v>
      </c>
      <c r="C328" s="5" t="s">
        <v>246</v>
      </c>
      <c r="D328" s="5">
        <v>3.0</v>
      </c>
      <c r="E328" s="5">
        <v>18.0</v>
      </c>
      <c r="F328" s="5">
        <f t="shared" si="1"/>
        <v>54</v>
      </c>
      <c r="G328" s="14">
        <v>1.0</v>
      </c>
      <c r="H328" s="5" t="s">
        <v>396</v>
      </c>
      <c r="I328" s="5" t="s">
        <v>117</v>
      </c>
      <c r="J328" s="5" t="s">
        <v>118</v>
      </c>
      <c r="K328" s="5">
        <v>2700.0</v>
      </c>
      <c r="L328" s="5">
        <v>1400.0</v>
      </c>
      <c r="M328" s="5">
        <v>126000.0</v>
      </c>
      <c r="N328" s="5">
        <f>M328/'Input Costs'!$B$6</f>
        <v>1375.696037</v>
      </c>
      <c r="O328" s="5">
        <v>28.0</v>
      </c>
      <c r="P328" s="5">
        <v>3.0</v>
      </c>
      <c r="Q328" s="6">
        <f t="shared" si="2"/>
        <v>46062</v>
      </c>
      <c r="R328" s="24" t="s">
        <v>650</v>
      </c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16" t="s">
        <v>652</v>
      </c>
      <c r="B329" s="23" t="s">
        <v>653</v>
      </c>
      <c r="C329" s="5" t="s">
        <v>262</v>
      </c>
      <c r="D329" s="5">
        <v>3.0</v>
      </c>
      <c r="E329" s="5">
        <v>14.0</v>
      </c>
      <c r="F329" s="5">
        <f t="shared" si="1"/>
        <v>42</v>
      </c>
      <c r="G329" s="14">
        <v>1.0</v>
      </c>
      <c r="H329" s="5" t="s">
        <v>293</v>
      </c>
      <c r="I329" s="5" t="s">
        <v>117</v>
      </c>
      <c r="J329" s="5" t="s">
        <v>118</v>
      </c>
      <c r="K329" s="5">
        <v>2850.0</v>
      </c>
      <c r="L329" s="5">
        <v>1600.0</v>
      </c>
      <c r="M329" s="5">
        <v>125000.0</v>
      </c>
      <c r="N329" s="5">
        <f>M329/'Input Costs'!$B$6</f>
        <v>1364.777814</v>
      </c>
      <c r="O329" s="5">
        <v>45.0</v>
      </c>
      <c r="P329" s="5">
        <v>10.0</v>
      </c>
      <c r="Q329" s="6">
        <f t="shared" si="2"/>
        <v>46062</v>
      </c>
      <c r="R329" s="24" t="s">
        <v>654</v>
      </c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22"/>
      <c r="B330" s="23" t="s">
        <v>655</v>
      </c>
      <c r="C330" s="5" t="s">
        <v>262</v>
      </c>
      <c r="D330" s="5">
        <v>3.0</v>
      </c>
      <c r="E330" s="5">
        <v>15.0</v>
      </c>
      <c r="F330" s="5">
        <f t="shared" si="1"/>
        <v>45</v>
      </c>
      <c r="G330" s="14">
        <v>1.0</v>
      </c>
      <c r="H330" s="5" t="s">
        <v>293</v>
      </c>
      <c r="I330" s="5" t="s">
        <v>117</v>
      </c>
      <c r="J330" s="5" t="s">
        <v>118</v>
      </c>
      <c r="K330" s="5">
        <v>2850.0</v>
      </c>
      <c r="L330" s="5">
        <v>1600.0</v>
      </c>
      <c r="M330" s="5">
        <v>122000.0</v>
      </c>
      <c r="N330" s="5">
        <f>M330/'Input Costs'!$B$6</f>
        <v>1332.023147</v>
      </c>
      <c r="O330" s="5">
        <v>45.0</v>
      </c>
      <c r="P330" s="5">
        <v>10.0</v>
      </c>
      <c r="Q330" s="6">
        <f t="shared" si="2"/>
        <v>46062</v>
      </c>
      <c r="R330" s="24" t="s">
        <v>654</v>
      </c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22"/>
      <c r="B331" s="23" t="s">
        <v>656</v>
      </c>
      <c r="C331" s="5" t="s">
        <v>262</v>
      </c>
      <c r="D331" s="5">
        <v>3.0</v>
      </c>
      <c r="E331" s="5">
        <v>16.0</v>
      </c>
      <c r="F331" s="5">
        <f t="shared" si="1"/>
        <v>48</v>
      </c>
      <c r="G331" s="14">
        <v>1.0</v>
      </c>
      <c r="H331" s="5" t="s">
        <v>293</v>
      </c>
      <c r="I331" s="5" t="s">
        <v>117</v>
      </c>
      <c r="J331" s="5" t="s">
        <v>118</v>
      </c>
      <c r="K331" s="5">
        <v>2850.0</v>
      </c>
      <c r="L331" s="5">
        <v>1600.0</v>
      </c>
      <c r="M331" s="5">
        <v>120000.0</v>
      </c>
      <c r="N331" s="5">
        <f>M331/'Input Costs'!$B$6</f>
        <v>1310.186702</v>
      </c>
      <c r="O331" s="5">
        <v>45.0</v>
      </c>
      <c r="P331" s="5">
        <v>10.0</v>
      </c>
      <c r="Q331" s="6">
        <f t="shared" si="2"/>
        <v>46062</v>
      </c>
      <c r="R331" s="24" t="s">
        <v>654</v>
      </c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22"/>
      <c r="B332" s="23" t="s">
        <v>657</v>
      </c>
      <c r="C332" s="5" t="s">
        <v>262</v>
      </c>
      <c r="D332" s="5">
        <v>3.0</v>
      </c>
      <c r="E332" s="5">
        <v>17.0</v>
      </c>
      <c r="F332" s="5">
        <f t="shared" si="1"/>
        <v>51</v>
      </c>
      <c r="G332" s="14">
        <v>1.0</v>
      </c>
      <c r="H332" s="5" t="s">
        <v>293</v>
      </c>
      <c r="I332" s="5" t="s">
        <v>117</v>
      </c>
      <c r="J332" s="5" t="s">
        <v>118</v>
      </c>
      <c r="K332" s="5">
        <v>2850.0</v>
      </c>
      <c r="L332" s="5">
        <v>1600.0</v>
      </c>
      <c r="M332" s="5">
        <v>118000.0</v>
      </c>
      <c r="N332" s="5">
        <f>M332/'Input Costs'!$B$6</f>
        <v>1288.350257</v>
      </c>
      <c r="O332" s="5">
        <v>45.0</v>
      </c>
      <c r="P332" s="5">
        <v>10.0</v>
      </c>
      <c r="Q332" s="6">
        <f t="shared" si="2"/>
        <v>46062</v>
      </c>
      <c r="R332" s="24" t="s">
        <v>654</v>
      </c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22"/>
      <c r="B333" s="23" t="s">
        <v>658</v>
      </c>
      <c r="C333" s="5" t="s">
        <v>262</v>
      </c>
      <c r="D333" s="5">
        <v>3.0</v>
      </c>
      <c r="E333" s="5">
        <v>18.0</v>
      </c>
      <c r="F333" s="5">
        <f t="shared" si="1"/>
        <v>54</v>
      </c>
      <c r="G333" s="14">
        <v>1.0</v>
      </c>
      <c r="H333" s="5" t="s">
        <v>293</v>
      </c>
      <c r="I333" s="5" t="s">
        <v>117</v>
      </c>
      <c r="J333" s="5" t="s">
        <v>118</v>
      </c>
      <c r="K333" s="5">
        <v>2850.0</v>
      </c>
      <c r="L333" s="5">
        <v>1600.0</v>
      </c>
      <c r="M333" s="5">
        <v>116000.0</v>
      </c>
      <c r="N333" s="5">
        <f>M333/'Input Costs'!$B$6</f>
        <v>1266.513812</v>
      </c>
      <c r="O333" s="5">
        <v>45.0</v>
      </c>
      <c r="P333" s="5">
        <v>10.0</v>
      </c>
      <c r="Q333" s="6">
        <f t="shared" si="2"/>
        <v>46062</v>
      </c>
      <c r="R333" s="24" t="s">
        <v>654</v>
      </c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22"/>
      <c r="B334" s="23" t="s">
        <v>659</v>
      </c>
      <c r="C334" s="5" t="s">
        <v>262</v>
      </c>
      <c r="D334" s="5">
        <v>3.0</v>
      </c>
      <c r="E334" s="5">
        <v>20.0</v>
      </c>
      <c r="F334" s="5">
        <f t="shared" si="1"/>
        <v>60</v>
      </c>
      <c r="G334" s="14">
        <v>1.0</v>
      </c>
      <c r="H334" s="5" t="s">
        <v>293</v>
      </c>
      <c r="I334" s="5" t="s">
        <v>117</v>
      </c>
      <c r="J334" s="5" t="s">
        <v>118</v>
      </c>
      <c r="K334" s="5">
        <v>2850.0</v>
      </c>
      <c r="L334" s="5">
        <v>1600.0</v>
      </c>
      <c r="M334" s="5">
        <v>113000.0</v>
      </c>
      <c r="N334" s="5">
        <f>M334/'Input Costs'!$B$6</f>
        <v>1233.759144</v>
      </c>
      <c r="O334" s="5">
        <v>45.0</v>
      </c>
      <c r="P334" s="5">
        <v>10.0</v>
      </c>
      <c r="Q334" s="6">
        <f t="shared" si="2"/>
        <v>46062</v>
      </c>
      <c r="R334" s="24" t="s">
        <v>654</v>
      </c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22"/>
      <c r="B335" s="23" t="s">
        <v>660</v>
      </c>
      <c r="C335" s="5" t="s">
        <v>262</v>
      </c>
      <c r="D335" s="5">
        <v>3.0</v>
      </c>
      <c r="E335" s="5">
        <v>15.0</v>
      </c>
      <c r="F335" s="5">
        <f t="shared" si="1"/>
        <v>45</v>
      </c>
      <c r="G335" s="14">
        <v>1.0</v>
      </c>
      <c r="H335" s="5" t="s">
        <v>293</v>
      </c>
      <c r="I335" s="5" t="s">
        <v>117</v>
      </c>
      <c r="J335" s="5" t="s">
        <v>150</v>
      </c>
      <c r="K335" s="5">
        <v>2850.0</v>
      </c>
      <c r="L335" s="5">
        <v>1600.0</v>
      </c>
      <c r="M335" s="5">
        <v>136000.0</v>
      </c>
      <c r="N335" s="5">
        <f>M335/'Input Costs'!$B$6</f>
        <v>1484.878262</v>
      </c>
      <c r="O335" s="5">
        <v>45.0</v>
      </c>
      <c r="P335" s="5">
        <v>10.0</v>
      </c>
      <c r="Q335" s="6">
        <f t="shared" si="2"/>
        <v>46062</v>
      </c>
      <c r="R335" s="24" t="s">
        <v>661</v>
      </c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22"/>
      <c r="B336" s="23" t="s">
        <v>662</v>
      </c>
      <c r="C336" s="5" t="s">
        <v>262</v>
      </c>
      <c r="D336" s="5">
        <v>3.0</v>
      </c>
      <c r="E336" s="5">
        <v>17.0</v>
      </c>
      <c r="F336" s="5">
        <f t="shared" si="1"/>
        <v>51</v>
      </c>
      <c r="G336" s="14">
        <v>1.0</v>
      </c>
      <c r="H336" s="5" t="s">
        <v>293</v>
      </c>
      <c r="I336" s="5" t="s">
        <v>117</v>
      </c>
      <c r="J336" s="5" t="s">
        <v>150</v>
      </c>
      <c r="K336" s="5">
        <v>2850.0</v>
      </c>
      <c r="L336" s="5">
        <v>1600.0</v>
      </c>
      <c r="M336" s="5">
        <v>132000.0</v>
      </c>
      <c r="N336" s="5">
        <f>M336/'Input Costs'!$B$6</f>
        <v>1441.205372</v>
      </c>
      <c r="O336" s="5">
        <v>45.0</v>
      </c>
      <c r="P336" s="5">
        <v>10.0</v>
      </c>
      <c r="Q336" s="6">
        <f t="shared" si="2"/>
        <v>46062</v>
      </c>
      <c r="R336" s="24" t="s">
        <v>661</v>
      </c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22"/>
      <c r="B337" s="23" t="s">
        <v>663</v>
      </c>
      <c r="C337" s="5" t="s">
        <v>262</v>
      </c>
      <c r="D337" s="5">
        <v>3.0</v>
      </c>
      <c r="E337" s="5">
        <v>18.0</v>
      </c>
      <c r="F337" s="5">
        <f t="shared" si="1"/>
        <v>54</v>
      </c>
      <c r="G337" s="14">
        <v>1.0</v>
      </c>
      <c r="H337" s="5" t="s">
        <v>293</v>
      </c>
      <c r="I337" s="5" t="s">
        <v>117</v>
      </c>
      <c r="J337" s="5" t="s">
        <v>150</v>
      </c>
      <c r="K337" s="5">
        <v>2850.0</v>
      </c>
      <c r="L337" s="5">
        <v>1600.0</v>
      </c>
      <c r="M337" s="5">
        <v>130000.0</v>
      </c>
      <c r="N337" s="5">
        <f>M337/'Input Costs'!$B$6</f>
        <v>1419.368927</v>
      </c>
      <c r="O337" s="5">
        <v>45.0</v>
      </c>
      <c r="P337" s="5">
        <v>10.0</v>
      </c>
      <c r="Q337" s="6">
        <f t="shared" si="2"/>
        <v>46062</v>
      </c>
      <c r="R337" s="24" t="s">
        <v>661</v>
      </c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22"/>
      <c r="B338" s="23" t="s">
        <v>664</v>
      </c>
      <c r="C338" s="5" t="s">
        <v>262</v>
      </c>
      <c r="D338" s="5">
        <v>3.0</v>
      </c>
      <c r="E338" s="5">
        <v>15.0</v>
      </c>
      <c r="F338" s="5">
        <f t="shared" si="1"/>
        <v>45</v>
      </c>
      <c r="G338" s="14">
        <v>1.0</v>
      </c>
      <c r="H338" s="5" t="s">
        <v>293</v>
      </c>
      <c r="I338" s="5" t="s">
        <v>117</v>
      </c>
      <c r="J338" s="5" t="s">
        <v>339</v>
      </c>
      <c r="K338" s="5">
        <v>2850.0</v>
      </c>
      <c r="L338" s="5">
        <v>1600.0</v>
      </c>
      <c r="M338" s="5">
        <v>152000.0</v>
      </c>
      <c r="N338" s="5">
        <f>M338/'Input Costs'!$B$6</f>
        <v>1659.569822</v>
      </c>
      <c r="O338" s="5">
        <v>50.0</v>
      </c>
      <c r="P338" s="5">
        <v>10.0</v>
      </c>
      <c r="Q338" s="6">
        <f t="shared" si="2"/>
        <v>46062</v>
      </c>
      <c r="R338" s="24" t="s">
        <v>665</v>
      </c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22"/>
      <c r="B339" s="23" t="s">
        <v>666</v>
      </c>
      <c r="C339" s="5" t="s">
        <v>262</v>
      </c>
      <c r="D339" s="5">
        <v>3.0</v>
      </c>
      <c r="E339" s="5">
        <v>17.0</v>
      </c>
      <c r="F339" s="5">
        <f t="shared" si="1"/>
        <v>51</v>
      </c>
      <c r="G339" s="14">
        <v>1.0</v>
      </c>
      <c r="H339" s="5" t="s">
        <v>293</v>
      </c>
      <c r="I339" s="5" t="s">
        <v>117</v>
      </c>
      <c r="J339" s="5" t="s">
        <v>339</v>
      </c>
      <c r="K339" s="5">
        <v>2850.0</v>
      </c>
      <c r="L339" s="5">
        <v>1600.0</v>
      </c>
      <c r="M339" s="5">
        <v>148000.0</v>
      </c>
      <c r="N339" s="5">
        <f>M339/'Input Costs'!$B$6</f>
        <v>1615.896932</v>
      </c>
      <c r="O339" s="5">
        <v>50.0</v>
      </c>
      <c r="P339" s="5">
        <v>10.0</v>
      </c>
      <c r="Q339" s="6">
        <f t="shared" si="2"/>
        <v>46062</v>
      </c>
      <c r="R339" s="24" t="s">
        <v>665</v>
      </c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22"/>
      <c r="B340" s="23" t="s">
        <v>667</v>
      </c>
      <c r="C340" s="5" t="s">
        <v>262</v>
      </c>
      <c r="D340" s="5">
        <v>3.0</v>
      </c>
      <c r="E340" s="5">
        <v>17.0</v>
      </c>
      <c r="F340" s="5">
        <f t="shared" si="1"/>
        <v>51</v>
      </c>
      <c r="G340" s="14">
        <v>1.0</v>
      </c>
      <c r="H340" s="5" t="s">
        <v>396</v>
      </c>
      <c r="I340" s="5" t="s">
        <v>117</v>
      </c>
      <c r="J340" s="5" t="s">
        <v>118</v>
      </c>
      <c r="K340" s="5">
        <v>2850.0</v>
      </c>
      <c r="L340" s="5">
        <v>1600.0</v>
      </c>
      <c r="M340" s="5">
        <v>133000.0</v>
      </c>
      <c r="N340" s="5">
        <f>M340/'Input Costs'!$B$6</f>
        <v>1452.123594</v>
      </c>
      <c r="O340" s="5">
        <v>45.0</v>
      </c>
      <c r="P340" s="5">
        <v>10.0</v>
      </c>
      <c r="Q340" s="6">
        <f t="shared" si="2"/>
        <v>46062</v>
      </c>
      <c r="R340" s="24" t="s">
        <v>668</v>
      </c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22"/>
      <c r="B341" s="23" t="s">
        <v>669</v>
      </c>
      <c r="C341" s="5" t="s">
        <v>262</v>
      </c>
      <c r="D341" s="5">
        <v>3.0</v>
      </c>
      <c r="E341" s="5">
        <v>18.0</v>
      </c>
      <c r="F341" s="5">
        <f t="shared" si="1"/>
        <v>54</v>
      </c>
      <c r="G341" s="14">
        <v>1.0</v>
      </c>
      <c r="H341" s="5" t="s">
        <v>396</v>
      </c>
      <c r="I341" s="5" t="s">
        <v>117</v>
      </c>
      <c r="J341" s="5" t="s">
        <v>118</v>
      </c>
      <c r="K341" s="5">
        <v>2850.0</v>
      </c>
      <c r="L341" s="5">
        <v>1600.0</v>
      </c>
      <c r="M341" s="5">
        <v>131000.0</v>
      </c>
      <c r="N341" s="5">
        <f>M341/'Input Costs'!$B$6</f>
        <v>1430.287149</v>
      </c>
      <c r="O341" s="5">
        <v>45.0</v>
      </c>
      <c r="P341" s="5">
        <v>10.0</v>
      </c>
      <c r="Q341" s="6">
        <f t="shared" si="2"/>
        <v>46062</v>
      </c>
      <c r="R341" s="24" t="s">
        <v>668</v>
      </c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22"/>
      <c r="B342" s="23" t="s">
        <v>670</v>
      </c>
      <c r="C342" s="5" t="s">
        <v>262</v>
      </c>
      <c r="D342" s="5">
        <v>3.0</v>
      </c>
      <c r="E342" s="5">
        <v>15.0</v>
      </c>
      <c r="F342" s="5">
        <f t="shared" si="1"/>
        <v>45</v>
      </c>
      <c r="G342" s="14">
        <v>1.0</v>
      </c>
      <c r="H342" s="5" t="s">
        <v>293</v>
      </c>
      <c r="I342" s="5" t="s">
        <v>222</v>
      </c>
      <c r="J342" s="5" t="s">
        <v>150</v>
      </c>
      <c r="K342" s="5">
        <v>2850.0</v>
      </c>
      <c r="L342" s="5">
        <v>1600.0</v>
      </c>
      <c r="M342" s="5">
        <v>131000.0</v>
      </c>
      <c r="N342" s="5">
        <f>M342/'Input Costs'!$B$6</f>
        <v>1430.287149</v>
      </c>
      <c r="O342" s="5">
        <v>45.0</v>
      </c>
      <c r="P342" s="5">
        <v>10.0</v>
      </c>
      <c r="Q342" s="6">
        <f t="shared" si="2"/>
        <v>46062</v>
      </c>
      <c r="R342" s="24" t="s">
        <v>671</v>
      </c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25"/>
      <c r="B343" s="23" t="s">
        <v>672</v>
      </c>
      <c r="C343" s="5" t="s">
        <v>262</v>
      </c>
      <c r="D343" s="5">
        <v>3.0</v>
      </c>
      <c r="E343" s="5">
        <v>17.0</v>
      </c>
      <c r="F343" s="5">
        <f t="shared" si="1"/>
        <v>51</v>
      </c>
      <c r="G343" s="14">
        <v>1.0</v>
      </c>
      <c r="H343" s="5" t="s">
        <v>293</v>
      </c>
      <c r="I343" s="5" t="s">
        <v>222</v>
      </c>
      <c r="J343" s="5" t="s">
        <v>150</v>
      </c>
      <c r="K343" s="5">
        <v>2850.0</v>
      </c>
      <c r="L343" s="5">
        <v>1600.0</v>
      </c>
      <c r="M343" s="5">
        <v>127000.0</v>
      </c>
      <c r="N343" s="5">
        <f>M343/'Input Costs'!$B$6</f>
        <v>1386.614259</v>
      </c>
      <c r="O343" s="5">
        <v>45.0</v>
      </c>
      <c r="P343" s="5">
        <v>10.0</v>
      </c>
      <c r="Q343" s="6">
        <f t="shared" si="2"/>
        <v>46062</v>
      </c>
      <c r="R343" s="24" t="s">
        <v>671</v>
      </c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16" t="s">
        <v>673</v>
      </c>
      <c r="B344" s="23" t="s">
        <v>674</v>
      </c>
      <c r="C344" s="5" t="s">
        <v>262</v>
      </c>
      <c r="D344" s="5">
        <v>3.0</v>
      </c>
      <c r="E344" s="5">
        <v>12.0</v>
      </c>
      <c r="F344" s="5">
        <f t="shared" si="1"/>
        <v>36</v>
      </c>
      <c r="G344" s="14">
        <v>1.0</v>
      </c>
      <c r="H344" s="5" t="s">
        <v>293</v>
      </c>
      <c r="I344" s="5" t="s">
        <v>117</v>
      </c>
      <c r="J344" s="5" t="s">
        <v>339</v>
      </c>
      <c r="K344" s="5">
        <v>2850.0</v>
      </c>
      <c r="L344" s="5">
        <v>1600.0</v>
      </c>
      <c r="M344" s="5">
        <v>175000.0</v>
      </c>
      <c r="N344" s="5">
        <f>M344/'Input Costs'!$B$6</f>
        <v>1910.68894</v>
      </c>
      <c r="O344" s="5">
        <v>60.0</v>
      </c>
      <c r="P344" s="5">
        <v>10.0</v>
      </c>
      <c r="Q344" s="6">
        <f t="shared" si="2"/>
        <v>46062</v>
      </c>
      <c r="R344" s="24" t="s">
        <v>675</v>
      </c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22"/>
      <c r="B345" s="23" t="s">
        <v>676</v>
      </c>
      <c r="C345" s="5" t="s">
        <v>262</v>
      </c>
      <c r="D345" s="5">
        <v>3.0</v>
      </c>
      <c r="E345" s="5">
        <v>13.0</v>
      </c>
      <c r="F345" s="5">
        <f t="shared" si="1"/>
        <v>39</v>
      </c>
      <c r="G345" s="14">
        <v>1.0</v>
      </c>
      <c r="H345" s="5" t="s">
        <v>293</v>
      </c>
      <c r="I345" s="5" t="s">
        <v>117</v>
      </c>
      <c r="J345" s="5" t="s">
        <v>339</v>
      </c>
      <c r="K345" s="5">
        <v>2850.0</v>
      </c>
      <c r="L345" s="5">
        <v>1600.0</v>
      </c>
      <c r="M345" s="5">
        <v>170000.0</v>
      </c>
      <c r="N345" s="5">
        <f>M345/'Input Costs'!$B$6</f>
        <v>1856.097827</v>
      </c>
      <c r="O345" s="5">
        <v>60.0</v>
      </c>
      <c r="P345" s="5">
        <v>10.0</v>
      </c>
      <c r="Q345" s="6">
        <f t="shared" si="2"/>
        <v>46062</v>
      </c>
      <c r="R345" s="24" t="s">
        <v>675</v>
      </c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22"/>
      <c r="B346" s="23" t="s">
        <v>677</v>
      </c>
      <c r="C346" s="5" t="s">
        <v>262</v>
      </c>
      <c r="D346" s="5">
        <v>3.0</v>
      </c>
      <c r="E346" s="5">
        <v>14.0</v>
      </c>
      <c r="F346" s="5">
        <f t="shared" si="1"/>
        <v>42</v>
      </c>
      <c r="G346" s="14">
        <v>1.0</v>
      </c>
      <c r="H346" s="5" t="s">
        <v>293</v>
      </c>
      <c r="I346" s="5" t="s">
        <v>117</v>
      </c>
      <c r="J346" s="5" t="s">
        <v>339</v>
      </c>
      <c r="K346" s="5">
        <v>2850.0</v>
      </c>
      <c r="L346" s="5">
        <v>1600.0</v>
      </c>
      <c r="M346" s="5">
        <v>165000.0</v>
      </c>
      <c r="N346" s="5">
        <f>M346/'Input Costs'!$B$6</f>
        <v>1801.506715</v>
      </c>
      <c r="O346" s="5">
        <v>60.0</v>
      </c>
      <c r="P346" s="5">
        <v>10.0</v>
      </c>
      <c r="Q346" s="6">
        <f t="shared" si="2"/>
        <v>46062</v>
      </c>
      <c r="R346" s="24" t="s">
        <v>675</v>
      </c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22"/>
      <c r="B347" s="23" t="s">
        <v>678</v>
      </c>
      <c r="C347" s="5" t="s">
        <v>262</v>
      </c>
      <c r="D347" s="5">
        <v>3.0</v>
      </c>
      <c r="E347" s="5">
        <v>15.0</v>
      </c>
      <c r="F347" s="5">
        <f t="shared" si="1"/>
        <v>45</v>
      </c>
      <c r="G347" s="14">
        <v>1.0</v>
      </c>
      <c r="H347" s="5" t="s">
        <v>293</v>
      </c>
      <c r="I347" s="5" t="s">
        <v>117</v>
      </c>
      <c r="J347" s="5" t="s">
        <v>339</v>
      </c>
      <c r="K347" s="5">
        <v>2850.0</v>
      </c>
      <c r="L347" s="5">
        <v>1600.0</v>
      </c>
      <c r="M347" s="5">
        <v>160000.0</v>
      </c>
      <c r="N347" s="5">
        <f>M347/'Input Costs'!$B$6</f>
        <v>1746.915602</v>
      </c>
      <c r="O347" s="5">
        <v>60.0</v>
      </c>
      <c r="P347" s="5">
        <v>10.0</v>
      </c>
      <c r="Q347" s="6">
        <f t="shared" si="2"/>
        <v>46062</v>
      </c>
      <c r="R347" s="24" t="s">
        <v>675</v>
      </c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22"/>
      <c r="B348" s="23" t="s">
        <v>679</v>
      </c>
      <c r="C348" s="5" t="s">
        <v>262</v>
      </c>
      <c r="D348" s="5">
        <v>3.0</v>
      </c>
      <c r="E348" s="5">
        <v>16.0</v>
      </c>
      <c r="F348" s="5">
        <f t="shared" si="1"/>
        <v>48</v>
      </c>
      <c r="G348" s="14">
        <v>1.0</v>
      </c>
      <c r="H348" s="5" t="s">
        <v>293</v>
      </c>
      <c r="I348" s="5" t="s">
        <v>117</v>
      </c>
      <c r="J348" s="5" t="s">
        <v>339</v>
      </c>
      <c r="K348" s="5">
        <v>2850.0</v>
      </c>
      <c r="L348" s="5">
        <v>1600.0</v>
      </c>
      <c r="M348" s="5">
        <v>156000.0</v>
      </c>
      <c r="N348" s="5">
        <f>M348/'Input Costs'!$B$6</f>
        <v>1703.242712</v>
      </c>
      <c r="O348" s="5">
        <v>60.0</v>
      </c>
      <c r="P348" s="5">
        <v>10.0</v>
      </c>
      <c r="Q348" s="6">
        <f t="shared" si="2"/>
        <v>46062</v>
      </c>
      <c r="R348" s="24" t="s">
        <v>675</v>
      </c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22"/>
      <c r="B349" s="23" t="s">
        <v>680</v>
      </c>
      <c r="C349" s="5" t="s">
        <v>282</v>
      </c>
      <c r="D349" s="5">
        <v>3.0</v>
      </c>
      <c r="E349" s="5">
        <v>15.0</v>
      </c>
      <c r="F349" s="5">
        <f t="shared" si="1"/>
        <v>45</v>
      </c>
      <c r="G349" s="14">
        <v>1.0</v>
      </c>
      <c r="H349" s="5" t="s">
        <v>293</v>
      </c>
      <c r="I349" s="5" t="s">
        <v>222</v>
      </c>
      <c r="J349" s="5" t="s">
        <v>118</v>
      </c>
      <c r="K349" s="5">
        <v>2600.0</v>
      </c>
      <c r="L349" s="5">
        <v>1400.0</v>
      </c>
      <c r="M349" s="5">
        <v>145000.0</v>
      </c>
      <c r="N349" s="5">
        <f>M349/'Input Costs'!$B$6</f>
        <v>1583.142264</v>
      </c>
      <c r="O349" s="5">
        <v>50.0</v>
      </c>
      <c r="P349" s="5">
        <v>5.0</v>
      </c>
      <c r="Q349" s="6">
        <f t="shared" si="2"/>
        <v>46062</v>
      </c>
      <c r="R349" s="24" t="s">
        <v>681</v>
      </c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22"/>
      <c r="B350" s="23" t="s">
        <v>682</v>
      </c>
      <c r="C350" s="5" t="s">
        <v>282</v>
      </c>
      <c r="D350" s="5">
        <v>3.0</v>
      </c>
      <c r="E350" s="5">
        <v>17.0</v>
      </c>
      <c r="F350" s="5">
        <f t="shared" si="1"/>
        <v>51</v>
      </c>
      <c r="G350" s="14">
        <v>1.0</v>
      </c>
      <c r="H350" s="5" t="s">
        <v>293</v>
      </c>
      <c r="I350" s="5" t="s">
        <v>222</v>
      </c>
      <c r="J350" s="5" t="s">
        <v>118</v>
      </c>
      <c r="K350" s="5">
        <v>2600.0</v>
      </c>
      <c r="L350" s="5">
        <v>1400.0</v>
      </c>
      <c r="M350" s="5">
        <v>141000.0</v>
      </c>
      <c r="N350" s="5">
        <f>M350/'Input Costs'!$B$6</f>
        <v>1539.469374</v>
      </c>
      <c r="O350" s="5">
        <v>50.0</v>
      </c>
      <c r="P350" s="5">
        <v>5.0</v>
      </c>
      <c r="Q350" s="6">
        <f t="shared" si="2"/>
        <v>46062</v>
      </c>
      <c r="R350" s="24" t="s">
        <v>681</v>
      </c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22"/>
      <c r="B351" s="23" t="s">
        <v>683</v>
      </c>
      <c r="C351" s="5" t="s">
        <v>282</v>
      </c>
      <c r="D351" s="5">
        <v>3.0</v>
      </c>
      <c r="E351" s="5">
        <v>18.0</v>
      </c>
      <c r="F351" s="5">
        <f t="shared" si="1"/>
        <v>54</v>
      </c>
      <c r="G351" s="14">
        <v>1.0</v>
      </c>
      <c r="H351" s="5" t="s">
        <v>293</v>
      </c>
      <c r="I351" s="5" t="s">
        <v>222</v>
      </c>
      <c r="J351" s="5" t="s">
        <v>118</v>
      </c>
      <c r="K351" s="5">
        <v>2600.0</v>
      </c>
      <c r="L351" s="5">
        <v>1400.0</v>
      </c>
      <c r="M351" s="5">
        <v>138000.0</v>
      </c>
      <c r="N351" s="5">
        <f>M351/'Input Costs'!$B$6</f>
        <v>1506.714707</v>
      </c>
      <c r="O351" s="5">
        <v>50.0</v>
      </c>
      <c r="P351" s="5">
        <v>5.0</v>
      </c>
      <c r="Q351" s="6">
        <f t="shared" si="2"/>
        <v>46062</v>
      </c>
      <c r="R351" s="24" t="s">
        <v>681</v>
      </c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22"/>
      <c r="B352" s="23" t="s">
        <v>684</v>
      </c>
      <c r="C352" s="5" t="s">
        <v>282</v>
      </c>
      <c r="D352" s="5">
        <v>3.0</v>
      </c>
      <c r="E352" s="5">
        <v>15.0</v>
      </c>
      <c r="F352" s="5">
        <f t="shared" si="1"/>
        <v>45</v>
      </c>
      <c r="G352" s="14">
        <v>1.0</v>
      </c>
      <c r="H352" s="5" t="s">
        <v>293</v>
      </c>
      <c r="I352" s="5" t="s">
        <v>222</v>
      </c>
      <c r="J352" s="5" t="s">
        <v>150</v>
      </c>
      <c r="K352" s="5">
        <v>2600.0</v>
      </c>
      <c r="L352" s="5">
        <v>1400.0</v>
      </c>
      <c r="M352" s="5">
        <v>158000.0</v>
      </c>
      <c r="N352" s="5">
        <f>M352/'Input Costs'!$B$6</f>
        <v>1725.079157</v>
      </c>
      <c r="O352" s="5">
        <v>50.0</v>
      </c>
      <c r="P352" s="5">
        <v>5.0</v>
      </c>
      <c r="Q352" s="6">
        <f t="shared" si="2"/>
        <v>46062</v>
      </c>
      <c r="R352" s="24" t="s">
        <v>685</v>
      </c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22"/>
      <c r="B353" s="23" t="s">
        <v>686</v>
      </c>
      <c r="C353" s="5" t="s">
        <v>282</v>
      </c>
      <c r="D353" s="5">
        <v>3.0</v>
      </c>
      <c r="E353" s="5">
        <v>17.0</v>
      </c>
      <c r="F353" s="5">
        <f t="shared" si="1"/>
        <v>51</v>
      </c>
      <c r="G353" s="14">
        <v>1.0</v>
      </c>
      <c r="H353" s="5" t="s">
        <v>293</v>
      </c>
      <c r="I353" s="5" t="s">
        <v>222</v>
      </c>
      <c r="J353" s="5" t="s">
        <v>150</v>
      </c>
      <c r="K353" s="5">
        <v>2600.0</v>
      </c>
      <c r="L353" s="5">
        <v>1400.0</v>
      </c>
      <c r="M353" s="5">
        <v>154000.0</v>
      </c>
      <c r="N353" s="5">
        <f>M353/'Input Costs'!$B$6</f>
        <v>1681.406267</v>
      </c>
      <c r="O353" s="5">
        <v>50.0</v>
      </c>
      <c r="P353" s="5">
        <v>5.0</v>
      </c>
      <c r="Q353" s="6">
        <f t="shared" si="2"/>
        <v>46062</v>
      </c>
      <c r="R353" s="24" t="s">
        <v>685</v>
      </c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22"/>
      <c r="B354" s="23" t="s">
        <v>687</v>
      </c>
      <c r="C354" s="5" t="s">
        <v>115</v>
      </c>
      <c r="D354" s="5">
        <v>3.0</v>
      </c>
      <c r="E354" s="5">
        <v>15.0</v>
      </c>
      <c r="F354" s="5">
        <f t="shared" si="1"/>
        <v>45</v>
      </c>
      <c r="G354" s="14">
        <v>1.0</v>
      </c>
      <c r="H354" s="5" t="s">
        <v>293</v>
      </c>
      <c r="I354" s="5" t="s">
        <v>117</v>
      </c>
      <c r="J354" s="5" t="s">
        <v>118</v>
      </c>
      <c r="K354" s="5">
        <v>2800.0</v>
      </c>
      <c r="L354" s="5">
        <v>1500.0</v>
      </c>
      <c r="M354" s="5">
        <v>125000.0</v>
      </c>
      <c r="N354" s="5">
        <f>M354/'Input Costs'!$B$6</f>
        <v>1364.777814</v>
      </c>
      <c r="O354" s="5">
        <v>30.0</v>
      </c>
      <c r="P354" s="5">
        <v>5.0</v>
      </c>
      <c r="Q354" s="6">
        <f t="shared" si="2"/>
        <v>46062</v>
      </c>
      <c r="R354" s="24" t="s">
        <v>688</v>
      </c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22"/>
      <c r="B355" s="23" t="s">
        <v>689</v>
      </c>
      <c r="C355" s="5" t="s">
        <v>115</v>
      </c>
      <c r="D355" s="5">
        <v>3.0</v>
      </c>
      <c r="E355" s="5">
        <v>17.0</v>
      </c>
      <c r="F355" s="5">
        <f t="shared" si="1"/>
        <v>51</v>
      </c>
      <c r="G355" s="14">
        <v>1.0</v>
      </c>
      <c r="H355" s="5" t="s">
        <v>293</v>
      </c>
      <c r="I355" s="5" t="s">
        <v>117</v>
      </c>
      <c r="J355" s="5" t="s">
        <v>118</v>
      </c>
      <c r="K355" s="5">
        <v>2800.0</v>
      </c>
      <c r="L355" s="5">
        <v>1500.0</v>
      </c>
      <c r="M355" s="5">
        <v>121000.0</v>
      </c>
      <c r="N355" s="5">
        <f>M355/'Input Costs'!$B$6</f>
        <v>1321.104924</v>
      </c>
      <c r="O355" s="5">
        <v>30.0</v>
      </c>
      <c r="P355" s="5">
        <v>5.0</v>
      </c>
      <c r="Q355" s="6">
        <f t="shared" si="2"/>
        <v>46062</v>
      </c>
      <c r="R355" s="24" t="s">
        <v>688</v>
      </c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22"/>
      <c r="B356" s="23" t="s">
        <v>690</v>
      </c>
      <c r="C356" s="5" t="s">
        <v>115</v>
      </c>
      <c r="D356" s="5">
        <v>3.0</v>
      </c>
      <c r="E356" s="5">
        <v>18.0</v>
      </c>
      <c r="F356" s="5">
        <f t="shared" si="1"/>
        <v>54</v>
      </c>
      <c r="G356" s="14">
        <v>1.0</v>
      </c>
      <c r="H356" s="5" t="s">
        <v>293</v>
      </c>
      <c r="I356" s="5" t="s">
        <v>117</v>
      </c>
      <c r="J356" s="5" t="s">
        <v>118</v>
      </c>
      <c r="K356" s="5">
        <v>2800.0</v>
      </c>
      <c r="L356" s="5">
        <v>1500.0</v>
      </c>
      <c r="M356" s="5">
        <v>119000.0</v>
      </c>
      <c r="N356" s="5">
        <f>M356/'Input Costs'!$B$6</f>
        <v>1299.268479</v>
      </c>
      <c r="O356" s="5">
        <v>30.0</v>
      </c>
      <c r="P356" s="5">
        <v>5.0</v>
      </c>
      <c r="Q356" s="6">
        <f t="shared" si="2"/>
        <v>46062</v>
      </c>
      <c r="R356" s="24" t="s">
        <v>688</v>
      </c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22"/>
      <c r="B357" s="23" t="s">
        <v>691</v>
      </c>
      <c r="C357" s="5" t="s">
        <v>115</v>
      </c>
      <c r="D357" s="5">
        <v>3.0</v>
      </c>
      <c r="E357" s="5">
        <v>15.0</v>
      </c>
      <c r="F357" s="5">
        <f t="shared" si="1"/>
        <v>45</v>
      </c>
      <c r="G357" s="14">
        <v>1.0</v>
      </c>
      <c r="H357" s="5" t="s">
        <v>293</v>
      </c>
      <c r="I357" s="5" t="s">
        <v>117</v>
      </c>
      <c r="J357" s="5" t="s">
        <v>150</v>
      </c>
      <c r="K357" s="5">
        <v>2800.0</v>
      </c>
      <c r="L357" s="5">
        <v>1500.0</v>
      </c>
      <c r="M357" s="5">
        <v>139000.0</v>
      </c>
      <c r="N357" s="5">
        <f>M357/'Input Costs'!$B$6</f>
        <v>1517.632929</v>
      </c>
      <c r="O357" s="5">
        <v>30.0</v>
      </c>
      <c r="P357" s="5">
        <v>5.0</v>
      </c>
      <c r="Q357" s="6">
        <f t="shared" si="2"/>
        <v>46062</v>
      </c>
      <c r="R357" s="24" t="s">
        <v>692</v>
      </c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22"/>
      <c r="B358" s="23" t="s">
        <v>693</v>
      </c>
      <c r="C358" s="5" t="s">
        <v>115</v>
      </c>
      <c r="D358" s="5">
        <v>3.0</v>
      </c>
      <c r="E358" s="5">
        <v>17.0</v>
      </c>
      <c r="F358" s="5">
        <f t="shared" si="1"/>
        <v>51</v>
      </c>
      <c r="G358" s="14">
        <v>1.0</v>
      </c>
      <c r="H358" s="5" t="s">
        <v>293</v>
      </c>
      <c r="I358" s="5" t="s">
        <v>117</v>
      </c>
      <c r="J358" s="5" t="s">
        <v>150</v>
      </c>
      <c r="K358" s="5">
        <v>2800.0</v>
      </c>
      <c r="L358" s="5">
        <v>1500.0</v>
      </c>
      <c r="M358" s="5">
        <v>135000.0</v>
      </c>
      <c r="N358" s="5">
        <f>M358/'Input Costs'!$B$6</f>
        <v>1473.960039</v>
      </c>
      <c r="O358" s="5">
        <v>30.0</v>
      </c>
      <c r="P358" s="5">
        <v>5.0</v>
      </c>
      <c r="Q358" s="6">
        <f t="shared" si="2"/>
        <v>46062</v>
      </c>
      <c r="R358" s="24" t="s">
        <v>692</v>
      </c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22"/>
      <c r="B359" s="23" t="s">
        <v>694</v>
      </c>
      <c r="C359" s="5" t="s">
        <v>115</v>
      </c>
      <c r="D359" s="5">
        <v>3.0</v>
      </c>
      <c r="E359" s="5">
        <v>15.0</v>
      </c>
      <c r="F359" s="5">
        <f t="shared" si="1"/>
        <v>45</v>
      </c>
      <c r="G359" s="14">
        <v>1.0</v>
      </c>
      <c r="H359" s="5" t="s">
        <v>293</v>
      </c>
      <c r="I359" s="5" t="s">
        <v>117</v>
      </c>
      <c r="J359" s="5" t="s">
        <v>118</v>
      </c>
      <c r="K359" s="5">
        <v>2800.0</v>
      </c>
      <c r="L359" s="5">
        <v>1500.0</v>
      </c>
      <c r="M359" s="5">
        <v>127000.0</v>
      </c>
      <c r="N359" s="5">
        <f>M359/'Input Costs'!$B$6</f>
        <v>1386.614259</v>
      </c>
      <c r="O359" s="5">
        <v>30.0</v>
      </c>
      <c r="P359" s="5">
        <v>5.0</v>
      </c>
      <c r="Q359" s="6">
        <f t="shared" si="2"/>
        <v>46062</v>
      </c>
      <c r="R359" s="24" t="s">
        <v>695</v>
      </c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22"/>
      <c r="B360" s="23" t="s">
        <v>696</v>
      </c>
      <c r="C360" s="5" t="s">
        <v>115</v>
      </c>
      <c r="D360" s="5">
        <v>3.0</v>
      </c>
      <c r="E360" s="5">
        <v>17.0</v>
      </c>
      <c r="F360" s="5">
        <f t="shared" si="1"/>
        <v>51</v>
      </c>
      <c r="G360" s="14">
        <v>1.0</v>
      </c>
      <c r="H360" s="5" t="s">
        <v>293</v>
      </c>
      <c r="I360" s="5" t="s">
        <v>117</v>
      </c>
      <c r="J360" s="5" t="s">
        <v>118</v>
      </c>
      <c r="K360" s="5">
        <v>2800.0</v>
      </c>
      <c r="L360" s="5">
        <v>1500.0</v>
      </c>
      <c r="M360" s="5">
        <v>123000.0</v>
      </c>
      <c r="N360" s="5">
        <f>M360/'Input Costs'!$B$6</f>
        <v>1342.941369</v>
      </c>
      <c r="O360" s="5">
        <v>30.0</v>
      </c>
      <c r="P360" s="5">
        <v>5.0</v>
      </c>
      <c r="Q360" s="6">
        <f t="shared" si="2"/>
        <v>46062</v>
      </c>
      <c r="R360" s="24" t="s">
        <v>695</v>
      </c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22"/>
      <c r="B361" s="23" t="s">
        <v>697</v>
      </c>
      <c r="C361" s="5" t="s">
        <v>115</v>
      </c>
      <c r="D361" s="5">
        <v>3.0</v>
      </c>
      <c r="E361" s="5">
        <v>18.0</v>
      </c>
      <c r="F361" s="5">
        <f t="shared" si="1"/>
        <v>54</v>
      </c>
      <c r="G361" s="14">
        <v>1.0</v>
      </c>
      <c r="H361" s="5" t="s">
        <v>293</v>
      </c>
      <c r="I361" s="5" t="s">
        <v>117</v>
      </c>
      <c r="J361" s="5" t="s">
        <v>118</v>
      </c>
      <c r="K361" s="5">
        <v>2800.0</v>
      </c>
      <c r="L361" s="5">
        <v>1500.0</v>
      </c>
      <c r="M361" s="5">
        <v>121000.0</v>
      </c>
      <c r="N361" s="5">
        <f>M361/'Input Costs'!$B$6</f>
        <v>1321.104924</v>
      </c>
      <c r="O361" s="5">
        <v>30.0</v>
      </c>
      <c r="P361" s="5">
        <v>5.0</v>
      </c>
      <c r="Q361" s="6">
        <f t="shared" si="2"/>
        <v>46062</v>
      </c>
      <c r="R361" s="24" t="s">
        <v>695</v>
      </c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22"/>
      <c r="B362" s="23" t="s">
        <v>698</v>
      </c>
      <c r="C362" s="5" t="s">
        <v>115</v>
      </c>
      <c r="D362" s="5">
        <v>3.0</v>
      </c>
      <c r="E362" s="5">
        <v>15.0</v>
      </c>
      <c r="F362" s="5">
        <f t="shared" si="1"/>
        <v>45</v>
      </c>
      <c r="G362" s="14">
        <v>1.0</v>
      </c>
      <c r="H362" s="5" t="s">
        <v>293</v>
      </c>
      <c r="I362" s="5" t="s">
        <v>117</v>
      </c>
      <c r="J362" s="5" t="s">
        <v>118</v>
      </c>
      <c r="K362" s="5">
        <v>2800.0</v>
      </c>
      <c r="L362" s="5">
        <v>1500.0</v>
      </c>
      <c r="M362" s="5">
        <v>133000.0</v>
      </c>
      <c r="N362" s="5">
        <f>M362/'Input Costs'!$B$6</f>
        <v>1452.123594</v>
      </c>
      <c r="O362" s="5">
        <v>35.0</v>
      </c>
      <c r="P362" s="5">
        <v>5.0</v>
      </c>
      <c r="Q362" s="6">
        <f t="shared" si="2"/>
        <v>46062</v>
      </c>
      <c r="R362" s="24" t="s">
        <v>699</v>
      </c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22"/>
      <c r="B363" s="23" t="s">
        <v>700</v>
      </c>
      <c r="C363" s="5" t="s">
        <v>115</v>
      </c>
      <c r="D363" s="5">
        <v>3.0</v>
      </c>
      <c r="E363" s="5">
        <v>17.0</v>
      </c>
      <c r="F363" s="5">
        <f t="shared" si="1"/>
        <v>51</v>
      </c>
      <c r="G363" s="14">
        <v>1.0</v>
      </c>
      <c r="H363" s="5" t="s">
        <v>293</v>
      </c>
      <c r="I363" s="5" t="s">
        <v>117</v>
      </c>
      <c r="J363" s="5" t="s">
        <v>118</v>
      </c>
      <c r="K363" s="5">
        <v>2800.0</v>
      </c>
      <c r="L363" s="5">
        <v>1500.0</v>
      </c>
      <c r="M363" s="5">
        <v>129000.0</v>
      </c>
      <c r="N363" s="5">
        <f>M363/'Input Costs'!$B$6</f>
        <v>1408.450704</v>
      </c>
      <c r="O363" s="5">
        <v>35.0</v>
      </c>
      <c r="P363" s="5">
        <v>5.0</v>
      </c>
      <c r="Q363" s="6">
        <f t="shared" si="2"/>
        <v>46062</v>
      </c>
      <c r="R363" s="24" t="s">
        <v>699</v>
      </c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25"/>
      <c r="B364" s="23" t="s">
        <v>701</v>
      </c>
      <c r="C364" s="5" t="s">
        <v>115</v>
      </c>
      <c r="D364" s="5">
        <v>3.0</v>
      </c>
      <c r="E364" s="5">
        <v>18.0</v>
      </c>
      <c r="F364" s="5">
        <f t="shared" si="1"/>
        <v>54</v>
      </c>
      <c r="G364" s="14">
        <v>1.0</v>
      </c>
      <c r="H364" s="5" t="s">
        <v>293</v>
      </c>
      <c r="I364" s="5" t="s">
        <v>117</v>
      </c>
      <c r="J364" s="5" t="s">
        <v>118</v>
      </c>
      <c r="K364" s="5">
        <v>2800.0</v>
      </c>
      <c r="L364" s="5">
        <v>1500.0</v>
      </c>
      <c r="M364" s="5">
        <v>127000.0</v>
      </c>
      <c r="N364" s="5">
        <f>M364/'Input Costs'!$B$6</f>
        <v>1386.614259</v>
      </c>
      <c r="O364" s="5">
        <v>35.0</v>
      </c>
      <c r="P364" s="5">
        <v>5.0</v>
      </c>
      <c r="Q364" s="6">
        <f t="shared" si="2"/>
        <v>46062</v>
      </c>
      <c r="R364" s="24" t="s">
        <v>699</v>
      </c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16" t="s">
        <v>702</v>
      </c>
      <c r="B365" s="23" t="s">
        <v>703</v>
      </c>
      <c r="C365" s="5" t="s">
        <v>115</v>
      </c>
      <c r="D365" s="5">
        <v>3.0</v>
      </c>
      <c r="E365" s="5">
        <v>14.0</v>
      </c>
      <c r="F365" s="5">
        <f t="shared" si="1"/>
        <v>42</v>
      </c>
      <c r="G365" s="14">
        <v>1.0</v>
      </c>
      <c r="H365" s="5" t="s">
        <v>293</v>
      </c>
      <c r="I365" s="5" t="s">
        <v>117</v>
      </c>
      <c r="J365" s="5" t="s">
        <v>150</v>
      </c>
      <c r="K365" s="5">
        <v>2800.0</v>
      </c>
      <c r="L365" s="5">
        <v>1500.0</v>
      </c>
      <c r="M365" s="5">
        <v>148000.0</v>
      </c>
      <c r="N365" s="5">
        <f>M365/'Input Costs'!$B$6</f>
        <v>1615.896932</v>
      </c>
      <c r="O365" s="5">
        <v>35.0</v>
      </c>
      <c r="P365" s="5">
        <v>5.0</v>
      </c>
      <c r="Q365" s="6">
        <f t="shared" si="2"/>
        <v>46062</v>
      </c>
      <c r="R365" s="24" t="s">
        <v>704</v>
      </c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22"/>
      <c r="B366" s="23" t="s">
        <v>705</v>
      </c>
      <c r="C366" s="5" t="s">
        <v>115</v>
      </c>
      <c r="D366" s="5">
        <v>3.0</v>
      </c>
      <c r="E366" s="5">
        <v>15.0</v>
      </c>
      <c r="F366" s="5">
        <f t="shared" si="1"/>
        <v>45</v>
      </c>
      <c r="G366" s="14">
        <v>1.0</v>
      </c>
      <c r="H366" s="5" t="s">
        <v>293</v>
      </c>
      <c r="I366" s="5" t="s">
        <v>117</v>
      </c>
      <c r="J366" s="5" t="s">
        <v>150</v>
      </c>
      <c r="K366" s="5">
        <v>2800.0</v>
      </c>
      <c r="L366" s="5">
        <v>1500.0</v>
      </c>
      <c r="M366" s="5">
        <v>145000.0</v>
      </c>
      <c r="N366" s="5">
        <f>M366/'Input Costs'!$B$6</f>
        <v>1583.142264</v>
      </c>
      <c r="O366" s="5">
        <v>35.0</v>
      </c>
      <c r="P366" s="5">
        <v>5.0</v>
      </c>
      <c r="Q366" s="6">
        <f t="shared" si="2"/>
        <v>46062</v>
      </c>
      <c r="R366" s="24" t="s">
        <v>704</v>
      </c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22"/>
      <c r="B367" s="23" t="s">
        <v>706</v>
      </c>
      <c r="C367" s="5" t="s">
        <v>115</v>
      </c>
      <c r="D367" s="5">
        <v>3.0</v>
      </c>
      <c r="E367" s="5">
        <v>16.0</v>
      </c>
      <c r="F367" s="5">
        <f t="shared" si="1"/>
        <v>48</v>
      </c>
      <c r="G367" s="14">
        <v>1.0</v>
      </c>
      <c r="H367" s="5" t="s">
        <v>293</v>
      </c>
      <c r="I367" s="5" t="s">
        <v>117</v>
      </c>
      <c r="J367" s="5" t="s">
        <v>150</v>
      </c>
      <c r="K367" s="5">
        <v>2800.0</v>
      </c>
      <c r="L367" s="5">
        <v>1500.0</v>
      </c>
      <c r="M367" s="5">
        <v>143000.0</v>
      </c>
      <c r="N367" s="5">
        <f>M367/'Input Costs'!$B$6</f>
        <v>1561.305819</v>
      </c>
      <c r="O367" s="5">
        <v>35.0</v>
      </c>
      <c r="P367" s="5">
        <v>5.0</v>
      </c>
      <c r="Q367" s="6">
        <f t="shared" si="2"/>
        <v>46062</v>
      </c>
      <c r="R367" s="24" t="s">
        <v>704</v>
      </c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22"/>
      <c r="B368" s="23" t="s">
        <v>707</v>
      </c>
      <c r="C368" s="5" t="s">
        <v>115</v>
      </c>
      <c r="D368" s="5">
        <v>3.0</v>
      </c>
      <c r="E368" s="5">
        <v>17.0</v>
      </c>
      <c r="F368" s="5">
        <f t="shared" si="1"/>
        <v>51</v>
      </c>
      <c r="G368" s="14">
        <v>1.0</v>
      </c>
      <c r="H368" s="5" t="s">
        <v>293</v>
      </c>
      <c r="I368" s="5" t="s">
        <v>117</v>
      </c>
      <c r="J368" s="5" t="s">
        <v>150</v>
      </c>
      <c r="K368" s="5">
        <v>2800.0</v>
      </c>
      <c r="L368" s="5">
        <v>1500.0</v>
      </c>
      <c r="M368" s="5">
        <v>141000.0</v>
      </c>
      <c r="N368" s="5">
        <f>M368/'Input Costs'!$B$6</f>
        <v>1539.469374</v>
      </c>
      <c r="O368" s="5">
        <v>35.0</v>
      </c>
      <c r="P368" s="5">
        <v>5.0</v>
      </c>
      <c r="Q368" s="6">
        <f t="shared" si="2"/>
        <v>46062</v>
      </c>
      <c r="R368" s="24" t="s">
        <v>704</v>
      </c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22"/>
      <c r="B369" s="23" t="s">
        <v>708</v>
      </c>
      <c r="C369" s="5" t="s">
        <v>115</v>
      </c>
      <c r="D369" s="5">
        <v>3.0</v>
      </c>
      <c r="E369" s="5">
        <v>14.0</v>
      </c>
      <c r="F369" s="5">
        <f t="shared" si="1"/>
        <v>42</v>
      </c>
      <c r="G369" s="14">
        <v>1.0</v>
      </c>
      <c r="H369" s="5" t="s">
        <v>293</v>
      </c>
      <c r="I369" s="5" t="s">
        <v>117</v>
      </c>
      <c r="J369" s="5" t="s">
        <v>150</v>
      </c>
      <c r="K369" s="5">
        <v>2800.0</v>
      </c>
      <c r="L369" s="5">
        <v>1500.0</v>
      </c>
      <c r="M369" s="5">
        <v>155000.0</v>
      </c>
      <c r="N369" s="5">
        <f>M369/'Input Costs'!$B$6</f>
        <v>1692.32449</v>
      </c>
      <c r="O369" s="5">
        <v>35.0</v>
      </c>
      <c r="P369" s="5">
        <v>5.0</v>
      </c>
      <c r="Q369" s="6">
        <f t="shared" si="2"/>
        <v>46062</v>
      </c>
      <c r="R369" s="24" t="s">
        <v>709</v>
      </c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25"/>
      <c r="B370" s="30" t="s">
        <v>710</v>
      </c>
      <c r="C370" s="31" t="s">
        <v>115</v>
      </c>
      <c r="D370" s="31">
        <v>3.0</v>
      </c>
      <c r="E370" s="31">
        <v>15.0</v>
      </c>
      <c r="F370" s="31">
        <f t="shared" si="1"/>
        <v>45</v>
      </c>
      <c r="G370" s="32">
        <v>1.0</v>
      </c>
      <c r="H370" s="31" t="s">
        <v>293</v>
      </c>
      <c r="I370" s="31" t="s">
        <v>117</v>
      </c>
      <c r="J370" s="31" t="s">
        <v>150</v>
      </c>
      <c r="K370" s="31">
        <v>2800.0</v>
      </c>
      <c r="L370" s="31">
        <v>1500.0</v>
      </c>
      <c r="M370" s="31">
        <v>152000.0</v>
      </c>
      <c r="N370" s="31">
        <f>M370/'Input Costs'!$B$6</f>
        <v>1659.569822</v>
      </c>
      <c r="O370" s="31">
        <v>35.0</v>
      </c>
      <c r="P370" s="31">
        <v>5.0</v>
      </c>
      <c r="Q370" s="33">
        <f t="shared" si="2"/>
        <v>46062</v>
      </c>
      <c r="R370" s="34" t="s">
        <v>709</v>
      </c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35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35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5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5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5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5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5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35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35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35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35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35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35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35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35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35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35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35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35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35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35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35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35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35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35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35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35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35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35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35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35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35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35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35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35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35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35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35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35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35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35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35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35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35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35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35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35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35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35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35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35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35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35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35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35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35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35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35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35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35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35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35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35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35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35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35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35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35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35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35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35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35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35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35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35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35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35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35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35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35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35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35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35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9">
    <mergeCell ref="A2:A16"/>
    <mergeCell ref="A17:A24"/>
    <mergeCell ref="A25:A29"/>
    <mergeCell ref="A30:A48"/>
    <mergeCell ref="A49:A53"/>
    <mergeCell ref="A54:A62"/>
    <mergeCell ref="A63:A69"/>
    <mergeCell ref="A70:A74"/>
    <mergeCell ref="A75:A84"/>
    <mergeCell ref="A85:A94"/>
    <mergeCell ref="A95:A103"/>
    <mergeCell ref="A104:A118"/>
    <mergeCell ref="A119:A126"/>
    <mergeCell ref="A127:A132"/>
    <mergeCell ref="A133:A138"/>
    <mergeCell ref="A139:A157"/>
    <mergeCell ref="A158:A165"/>
    <mergeCell ref="A166:A176"/>
    <mergeCell ref="A177:A186"/>
    <mergeCell ref="A187:A192"/>
    <mergeCell ref="A193:A202"/>
    <mergeCell ref="A203:A212"/>
    <mergeCell ref="A213:A224"/>
    <mergeCell ref="A225:A234"/>
    <mergeCell ref="A235:A242"/>
    <mergeCell ref="A243:A249"/>
    <mergeCell ref="A250:A255"/>
    <mergeCell ref="A256:A261"/>
    <mergeCell ref="A315:A328"/>
    <mergeCell ref="A329:A343"/>
    <mergeCell ref="A344:A364"/>
    <mergeCell ref="A365:A370"/>
    <mergeCell ref="A262:A267"/>
    <mergeCell ref="A268:A273"/>
    <mergeCell ref="A274:A278"/>
    <mergeCell ref="A279:A286"/>
    <mergeCell ref="A287:A295"/>
    <mergeCell ref="A296:A306"/>
    <mergeCell ref="A307:A31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24.13"/>
    <col customWidth="1" min="3" max="3" width="31.25"/>
    <col customWidth="1" min="4" max="4" width="8.13"/>
    <col customWidth="1" min="5" max="5" width="3.38"/>
    <col customWidth="1" min="6" max="6" width="11.5"/>
    <col customWidth="1" min="7" max="7" width="15.63"/>
    <col customWidth="1" min="8" max="8" width="15.0"/>
    <col customWidth="1" min="9" max="9" width="13.5"/>
    <col customWidth="1" min="10" max="10" width="14.13"/>
    <col customWidth="1" min="11" max="11" width="12.88"/>
    <col customWidth="1" min="12" max="12" width="11.25"/>
    <col customWidth="1" min="13" max="13" width="11.38"/>
    <col customWidth="1" min="14" max="14" width="11.63"/>
    <col customWidth="1" min="15" max="15" width="7.38"/>
    <col customWidth="1" min="16" max="16" width="8.88"/>
    <col customWidth="1" min="17" max="17" width="4.75"/>
    <col customWidth="1" min="18" max="18" width="9.75"/>
    <col customWidth="1" min="19" max="19" width="15.0"/>
    <col customWidth="1" min="20" max="20" width="16.38"/>
    <col customWidth="1" min="21" max="21" width="15.5"/>
    <col customWidth="1" min="22" max="22" width="17.5"/>
    <col customWidth="1" min="23" max="23" width="10.88"/>
    <col customWidth="1" min="24" max="26" width="8.63"/>
  </cols>
  <sheetData>
    <row r="1" ht="14.25" customHeight="1">
      <c r="A1" s="15" t="s">
        <v>95</v>
      </c>
      <c r="B1" s="15" t="s">
        <v>711</v>
      </c>
      <c r="C1" s="15" t="s">
        <v>712</v>
      </c>
      <c r="D1" s="15" t="s">
        <v>713</v>
      </c>
      <c r="E1" s="15" t="s">
        <v>98</v>
      </c>
      <c r="F1" s="15" t="s">
        <v>99</v>
      </c>
      <c r="G1" s="15" t="s">
        <v>714</v>
      </c>
      <c r="H1" s="15" t="s">
        <v>715</v>
      </c>
      <c r="I1" s="15" t="s">
        <v>716</v>
      </c>
      <c r="J1" s="15" t="s">
        <v>717</v>
      </c>
      <c r="K1" s="15" t="s">
        <v>718</v>
      </c>
      <c r="L1" s="15" t="s">
        <v>719</v>
      </c>
      <c r="M1" s="15" t="s">
        <v>720</v>
      </c>
      <c r="N1" s="15" t="s">
        <v>102</v>
      </c>
      <c r="O1" s="15" t="s">
        <v>103</v>
      </c>
      <c r="P1" s="15" t="s">
        <v>721</v>
      </c>
      <c r="Q1" s="15" t="s">
        <v>722</v>
      </c>
      <c r="R1" s="15" t="s">
        <v>723</v>
      </c>
      <c r="S1" s="15" t="s">
        <v>724</v>
      </c>
      <c r="T1" s="15" t="s">
        <v>725</v>
      </c>
      <c r="U1" s="15" t="s">
        <v>726</v>
      </c>
      <c r="V1" s="15" t="s">
        <v>727</v>
      </c>
      <c r="W1" s="15" t="s">
        <v>728</v>
      </c>
      <c r="X1" s="36"/>
      <c r="Y1" s="36"/>
      <c r="Z1" s="36"/>
    </row>
    <row r="2" ht="14.25" customHeight="1">
      <c r="A2" s="37" t="s">
        <v>729</v>
      </c>
      <c r="B2" s="38"/>
      <c r="W2" s="39"/>
      <c r="X2" s="4"/>
      <c r="Y2" s="4"/>
      <c r="Z2" s="4"/>
    </row>
    <row r="3" ht="14.25" customHeight="1">
      <c r="A3" s="16" t="s">
        <v>730</v>
      </c>
      <c r="B3" s="23" t="s">
        <v>731</v>
      </c>
      <c r="C3" s="5" t="s">
        <v>732</v>
      </c>
      <c r="D3" s="5" t="s">
        <v>733</v>
      </c>
      <c r="E3" s="5">
        <v>2.0</v>
      </c>
      <c r="F3" s="5">
        <v>17.0</v>
      </c>
      <c r="G3" s="5">
        <v>100.0</v>
      </c>
      <c r="H3" s="5">
        <v>114.0</v>
      </c>
      <c r="I3" s="5">
        <f t="shared" ref="I3:I102" si="1">G3*H3/1000000</f>
        <v>0.0114</v>
      </c>
      <c r="J3" s="5">
        <v>100.0</v>
      </c>
      <c r="K3" s="5">
        <v>6.0</v>
      </c>
      <c r="L3" s="5">
        <v>40.0</v>
      </c>
      <c r="M3" s="5">
        <v>85.0</v>
      </c>
      <c r="N3" s="5" t="s">
        <v>734</v>
      </c>
      <c r="O3" s="5" t="s">
        <v>735</v>
      </c>
      <c r="P3" s="5" t="s">
        <v>736</v>
      </c>
      <c r="Q3" s="5" t="s">
        <v>734</v>
      </c>
      <c r="R3" s="5" t="s">
        <v>737</v>
      </c>
      <c r="S3" s="5">
        <v>96.0</v>
      </c>
      <c r="T3" s="5">
        <v>72.0</v>
      </c>
      <c r="U3" s="5">
        <v>20.0</v>
      </c>
      <c r="V3" s="5" t="s">
        <v>126</v>
      </c>
      <c r="W3" s="24" t="s">
        <v>738</v>
      </c>
      <c r="X3" s="4"/>
      <c r="Y3" s="4"/>
      <c r="Z3" s="4"/>
    </row>
    <row r="4" ht="14.25" customHeight="1">
      <c r="A4" s="22"/>
      <c r="B4" s="23" t="s">
        <v>739</v>
      </c>
      <c r="C4" s="5" t="s">
        <v>740</v>
      </c>
      <c r="D4" s="5" t="s">
        <v>733</v>
      </c>
      <c r="E4" s="5">
        <v>2.0</v>
      </c>
      <c r="F4" s="5">
        <v>17.0</v>
      </c>
      <c r="G4" s="5">
        <v>100.0</v>
      </c>
      <c r="H4" s="5">
        <v>114.0</v>
      </c>
      <c r="I4" s="5">
        <f t="shared" si="1"/>
        <v>0.0114</v>
      </c>
      <c r="J4" s="5">
        <v>150.0</v>
      </c>
      <c r="K4" s="5">
        <v>7.0</v>
      </c>
      <c r="L4" s="5">
        <v>40.0</v>
      </c>
      <c r="M4" s="5">
        <v>95.0</v>
      </c>
      <c r="N4" s="5" t="s">
        <v>734</v>
      </c>
      <c r="O4" s="5" t="s">
        <v>735</v>
      </c>
      <c r="P4" s="5" t="s">
        <v>736</v>
      </c>
      <c r="Q4" s="5" t="s">
        <v>734</v>
      </c>
      <c r="R4" s="5" t="s">
        <v>737</v>
      </c>
      <c r="S4" s="5">
        <v>64.0</v>
      </c>
      <c r="T4" s="5">
        <v>64.0</v>
      </c>
      <c r="U4" s="5">
        <v>20.0</v>
      </c>
      <c r="V4" s="5" t="s">
        <v>126</v>
      </c>
      <c r="W4" s="24" t="s">
        <v>738</v>
      </c>
      <c r="X4" s="4"/>
      <c r="Y4" s="4"/>
      <c r="Z4" s="4"/>
    </row>
    <row r="5" ht="14.25" customHeight="1">
      <c r="A5" s="22"/>
      <c r="B5" s="23" t="s">
        <v>741</v>
      </c>
      <c r="C5" s="5" t="s">
        <v>742</v>
      </c>
      <c r="D5" s="5" t="s">
        <v>733</v>
      </c>
      <c r="E5" s="5">
        <v>2.0</v>
      </c>
      <c r="F5" s="5">
        <v>17.0</v>
      </c>
      <c r="G5" s="5">
        <v>100.0</v>
      </c>
      <c r="H5" s="5">
        <v>114.0</v>
      </c>
      <c r="I5" s="5">
        <f t="shared" si="1"/>
        <v>0.0114</v>
      </c>
      <c r="J5" s="5">
        <v>180.0</v>
      </c>
      <c r="K5" s="5">
        <v>8.0</v>
      </c>
      <c r="L5" s="5">
        <v>40.0</v>
      </c>
      <c r="M5" s="5">
        <v>100.0</v>
      </c>
      <c r="N5" s="5" t="s">
        <v>734</v>
      </c>
      <c r="O5" s="5" t="s">
        <v>735</v>
      </c>
      <c r="P5" s="5" t="s">
        <v>736</v>
      </c>
      <c r="Q5" s="5" t="s">
        <v>734</v>
      </c>
      <c r="R5" s="5" t="s">
        <v>737</v>
      </c>
      <c r="S5" s="5">
        <v>56.0</v>
      </c>
      <c r="T5" s="5">
        <v>60.0</v>
      </c>
      <c r="U5" s="5">
        <v>20.0</v>
      </c>
      <c r="V5" s="5" t="s">
        <v>126</v>
      </c>
      <c r="W5" s="24" t="s">
        <v>738</v>
      </c>
      <c r="X5" s="4"/>
      <c r="Y5" s="4"/>
      <c r="Z5" s="4"/>
    </row>
    <row r="6" ht="14.25" customHeight="1">
      <c r="A6" s="22"/>
      <c r="B6" s="23" t="s">
        <v>743</v>
      </c>
      <c r="C6" s="5" t="s">
        <v>744</v>
      </c>
      <c r="D6" s="5" t="s">
        <v>733</v>
      </c>
      <c r="E6" s="5">
        <v>2.0</v>
      </c>
      <c r="F6" s="5">
        <v>17.0</v>
      </c>
      <c r="G6" s="5">
        <v>100.0</v>
      </c>
      <c r="H6" s="5">
        <v>114.0</v>
      </c>
      <c r="I6" s="5">
        <f t="shared" si="1"/>
        <v>0.0114</v>
      </c>
      <c r="J6" s="5">
        <v>200.0</v>
      </c>
      <c r="K6" s="5">
        <v>8.0</v>
      </c>
      <c r="L6" s="5">
        <v>40.0</v>
      </c>
      <c r="M6" s="5">
        <v>105.0</v>
      </c>
      <c r="N6" s="5" t="s">
        <v>734</v>
      </c>
      <c r="O6" s="5" t="s">
        <v>735</v>
      </c>
      <c r="P6" s="5" t="s">
        <v>736</v>
      </c>
      <c r="Q6" s="5" t="s">
        <v>734</v>
      </c>
      <c r="R6" s="5" t="s">
        <v>737</v>
      </c>
      <c r="S6" s="5">
        <v>48.0</v>
      </c>
      <c r="T6" s="5">
        <v>60.0</v>
      </c>
      <c r="U6" s="5">
        <v>20.0</v>
      </c>
      <c r="V6" s="5" t="s">
        <v>126</v>
      </c>
      <c r="W6" s="24" t="s">
        <v>738</v>
      </c>
      <c r="X6" s="4"/>
      <c r="Y6" s="4"/>
      <c r="Z6" s="4"/>
    </row>
    <row r="7" ht="14.25" customHeight="1">
      <c r="A7" s="22"/>
      <c r="B7" s="23" t="s">
        <v>745</v>
      </c>
      <c r="C7" s="5" t="s">
        <v>746</v>
      </c>
      <c r="D7" s="5" t="s">
        <v>733</v>
      </c>
      <c r="E7" s="5">
        <v>2.0</v>
      </c>
      <c r="F7" s="5">
        <v>17.0</v>
      </c>
      <c r="G7" s="5">
        <v>100.0</v>
      </c>
      <c r="H7" s="5">
        <v>114.0</v>
      </c>
      <c r="I7" s="5">
        <f t="shared" si="1"/>
        <v>0.0114</v>
      </c>
      <c r="J7" s="5">
        <v>220.0</v>
      </c>
      <c r="K7" s="5">
        <v>9.0</v>
      </c>
      <c r="L7" s="5">
        <v>40.0</v>
      </c>
      <c r="M7" s="5">
        <v>108.0</v>
      </c>
      <c r="N7" s="5" t="s">
        <v>734</v>
      </c>
      <c r="O7" s="5" t="s">
        <v>735</v>
      </c>
      <c r="P7" s="5" t="s">
        <v>736</v>
      </c>
      <c r="Q7" s="5" t="s">
        <v>734</v>
      </c>
      <c r="R7" s="5" t="s">
        <v>737</v>
      </c>
      <c r="S7" s="5">
        <v>48.0</v>
      </c>
      <c r="T7" s="5">
        <v>56.0</v>
      </c>
      <c r="U7" s="5">
        <v>20.0</v>
      </c>
      <c r="V7" s="5" t="s">
        <v>126</v>
      </c>
      <c r="W7" s="24" t="s">
        <v>738</v>
      </c>
      <c r="X7" s="4"/>
      <c r="Y7" s="4"/>
      <c r="Z7" s="4"/>
    </row>
    <row r="8" ht="14.25" customHeight="1">
      <c r="A8" s="22"/>
      <c r="B8" s="23" t="s">
        <v>747</v>
      </c>
      <c r="C8" s="5" t="s">
        <v>748</v>
      </c>
      <c r="D8" s="5" t="s">
        <v>733</v>
      </c>
      <c r="E8" s="5">
        <v>2.0</v>
      </c>
      <c r="F8" s="5">
        <v>17.0</v>
      </c>
      <c r="G8" s="5">
        <v>100.0</v>
      </c>
      <c r="H8" s="5">
        <v>114.0</v>
      </c>
      <c r="I8" s="5">
        <f t="shared" si="1"/>
        <v>0.0114</v>
      </c>
      <c r="J8" s="5">
        <v>250.0</v>
      </c>
      <c r="K8" s="5">
        <v>9.0</v>
      </c>
      <c r="L8" s="5">
        <v>40.0</v>
      </c>
      <c r="M8" s="5">
        <v>112.0</v>
      </c>
      <c r="N8" s="5" t="s">
        <v>734</v>
      </c>
      <c r="O8" s="5" t="s">
        <v>735</v>
      </c>
      <c r="P8" s="5" t="s">
        <v>736</v>
      </c>
      <c r="Q8" s="5" t="s">
        <v>734</v>
      </c>
      <c r="R8" s="5" t="s">
        <v>737</v>
      </c>
      <c r="S8" s="5">
        <v>40.0</v>
      </c>
      <c r="T8" s="5">
        <v>56.0</v>
      </c>
      <c r="U8" s="5">
        <v>20.0</v>
      </c>
      <c r="V8" s="5" t="s">
        <v>126</v>
      </c>
      <c r="W8" s="24" t="s">
        <v>738</v>
      </c>
      <c r="X8" s="4"/>
      <c r="Y8" s="4"/>
      <c r="Z8" s="4"/>
    </row>
    <row r="9" ht="14.25" customHeight="1">
      <c r="A9" s="22"/>
      <c r="B9" s="23" t="s">
        <v>749</v>
      </c>
      <c r="C9" s="5" t="s">
        <v>750</v>
      </c>
      <c r="D9" s="5" t="s">
        <v>733</v>
      </c>
      <c r="E9" s="5">
        <v>2.0</v>
      </c>
      <c r="F9" s="5">
        <v>17.0</v>
      </c>
      <c r="G9" s="5">
        <v>100.0</v>
      </c>
      <c r="H9" s="5">
        <v>114.0</v>
      </c>
      <c r="I9" s="5">
        <f t="shared" si="1"/>
        <v>0.0114</v>
      </c>
      <c r="J9" s="5">
        <v>300.0</v>
      </c>
      <c r="K9" s="5">
        <v>10.0</v>
      </c>
      <c r="L9" s="5">
        <v>40.0</v>
      </c>
      <c r="M9" s="5">
        <v>120.0</v>
      </c>
      <c r="N9" s="5" t="s">
        <v>734</v>
      </c>
      <c r="O9" s="5" t="s">
        <v>735</v>
      </c>
      <c r="P9" s="5" t="s">
        <v>736</v>
      </c>
      <c r="Q9" s="5" t="s">
        <v>734</v>
      </c>
      <c r="R9" s="5" t="s">
        <v>737</v>
      </c>
      <c r="S9" s="5">
        <v>36.0</v>
      </c>
      <c r="T9" s="5">
        <v>56.0</v>
      </c>
      <c r="U9" s="5">
        <v>20.0</v>
      </c>
      <c r="V9" s="5" t="s">
        <v>126</v>
      </c>
      <c r="W9" s="24" t="s">
        <v>738</v>
      </c>
      <c r="X9" s="4"/>
      <c r="Y9" s="4"/>
      <c r="Z9" s="4"/>
    </row>
    <row r="10" ht="14.25" customHeight="1">
      <c r="A10" s="22"/>
      <c r="B10" s="23" t="s">
        <v>751</v>
      </c>
      <c r="C10" s="5" t="s">
        <v>752</v>
      </c>
      <c r="D10" s="5" t="s">
        <v>733</v>
      </c>
      <c r="E10" s="5">
        <v>2.0</v>
      </c>
      <c r="F10" s="5">
        <v>17.0</v>
      </c>
      <c r="G10" s="5">
        <v>100.0</v>
      </c>
      <c r="H10" s="5">
        <v>114.0</v>
      </c>
      <c r="I10" s="5">
        <f t="shared" si="1"/>
        <v>0.0114</v>
      </c>
      <c r="J10" s="5">
        <v>350.0</v>
      </c>
      <c r="K10" s="5">
        <v>11.0</v>
      </c>
      <c r="L10" s="5">
        <v>40.0</v>
      </c>
      <c r="M10" s="5">
        <v>128.0</v>
      </c>
      <c r="N10" s="5" t="s">
        <v>734</v>
      </c>
      <c r="O10" s="5" t="s">
        <v>735</v>
      </c>
      <c r="P10" s="5" t="s">
        <v>736</v>
      </c>
      <c r="Q10" s="5" t="s">
        <v>734</v>
      </c>
      <c r="R10" s="5" t="s">
        <v>737</v>
      </c>
      <c r="S10" s="5">
        <v>32.0</v>
      </c>
      <c r="T10" s="5">
        <v>52.0</v>
      </c>
      <c r="U10" s="5">
        <v>20.0</v>
      </c>
      <c r="V10" s="5" t="s">
        <v>126</v>
      </c>
      <c r="W10" s="24" t="s">
        <v>738</v>
      </c>
      <c r="X10" s="4"/>
      <c r="Y10" s="4"/>
      <c r="Z10" s="4"/>
    </row>
    <row r="11" ht="14.25" customHeight="1">
      <c r="A11" s="22"/>
      <c r="B11" s="23" t="s">
        <v>753</v>
      </c>
      <c r="C11" s="5" t="s">
        <v>754</v>
      </c>
      <c r="D11" s="5" t="s">
        <v>733</v>
      </c>
      <c r="E11" s="5">
        <v>2.0</v>
      </c>
      <c r="F11" s="5">
        <v>17.0</v>
      </c>
      <c r="G11" s="5">
        <v>100.0</v>
      </c>
      <c r="H11" s="5">
        <v>114.0</v>
      </c>
      <c r="I11" s="5">
        <f t="shared" si="1"/>
        <v>0.0114</v>
      </c>
      <c r="J11" s="5">
        <v>400.0</v>
      </c>
      <c r="K11" s="5">
        <v>12.0</v>
      </c>
      <c r="L11" s="5">
        <v>40.0</v>
      </c>
      <c r="M11" s="5">
        <v>135.0</v>
      </c>
      <c r="N11" s="5" t="s">
        <v>734</v>
      </c>
      <c r="O11" s="5" t="s">
        <v>735</v>
      </c>
      <c r="P11" s="5" t="s">
        <v>736</v>
      </c>
      <c r="Q11" s="5" t="s">
        <v>734</v>
      </c>
      <c r="R11" s="5" t="s">
        <v>737</v>
      </c>
      <c r="S11" s="5">
        <v>28.0</v>
      </c>
      <c r="T11" s="5">
        <v>48.0</v>
      </c>
      <c r="U11" s="5">
        <v>20.0</v>
      </c>
      <c r="V11" s="5" t="s">
        <v>126</v>
      </c>
      <c r="W11" s="24" t="s">
        <v>738</v>
      </c>
      <c r="X11" s="4"/>
      <c r="Y11" s="4"/>
      <c r="Z11" s="4"/>
    </row>
    <row r="12" ht="14.25" customHeight="1">
      <c r="A12" s="22"/>
      <c r="B12" s="23" t="s">
        <v>755</v>
      </c>
      <c r="C12" s="5" t="s">
        <v>756</v>
      </c>
      <c r="D12" s="5" t="s">
        <v>733</v>
      </c>
      <c r="E12" s="5">
        <v>2.0</v>
      </c>
      <c r="F12" s="5">
        <v>17.0</v>
      </c>
      <c r="G12" s="5">
        <v>100.0</v>
      </c>
      <c r="H12" s="5">
        <v>114.0</v>
      </c>
      <c r="I12" s="5">
        <f t="shared" si="1"/>
        <v>0.0114</v>
      </c>
      <c r="J12" s="5">
        <v>500.0</v>
      </c>
      <c r="K12" s="5">
        <v>12.0</v>
      </c>
      <c r="L12" s="5">
        <v>40.0</v>
      </c>
      <c r="M12" s="5">
        <v>145.0</v>
      </c>
      <c r="N12" s="5" t="s">
        <v>734</v>
      </c>
      <c r="O12" s="5" t="s">
        <v>735</v>
      </c>
      <c r="P12" s="5" t="s">
        <v>736</v>
      </c>
      <c r="Q12" s="5" t="s">
        <v>734</v>
      </c>
      <c r="R12" s="5" t="s">
        <v>737</v>
      </c>
      <c r="S12" s="5">
        <v>24.0</v>
      </c>
      <c r="T12" s="5">
        <v>48.0</v>
      </c>
      <c r="U12" s="5">
        <v>20.0</v>
      </c>
      <c r="V12" s="5" t="s">
        <v>126</v>
      </c>
      <c r="W12" s="24" t="s">
        <v>738</v>
      </c>
      <c r="X12" s="4"/>
      <c r="Y12" s="4"/>
      <c r="Z12" s="4"/>
    </row>
    <row r="13" ht="14.25" customHeight="1">
      <c r="A13" s="22"/>
      <c r="B13" s="23" t="s">
        <v>757</v>
      </c>
      <c r="C13" s="5" t="s">
        <v>758</v>
      </c>
      <c r="D13" s="5" t="s">
        <v>733</v>
      </c>
      <c r="E13" s="5">
        <v>2.0</v>
      </c>
      <c r="F13" s="5">
        <v>17.0</v>
      </c>
      <c r="G13" s="5">
        <v>100.0</v>
      </c>
      <c r="H13" s="5">
        <v>114.0</v>
      </c>
      <c r="I13" s="5">
        <f t="shared" si="1"/>
        <v>0.0114</v>
      </c>
      <c r="J13" s="5">
        <v>600.0</v>
      </c>
      <c r="K13" s="5">
        <v>14.0</v>
      </c>
      <c r="L13" s="5">
        <v>40.0</v>
      </c>
      <c r="M13" s="5">
        <v>155.0</v>
      </c>
      <c r="N13" s="5" t="s">
        <v>734</v>
      </c>
      <c r="O13" s="5" t="s">
        <v>735</v>
      </c>
      <c r="P13" s="5" t="s">
        <v>736</v>
      </c>
      <c r="Q13" s="5" t="s">
        <v>734</v>
      </c>
      <c r="R13" s="5" t="s">
        <v>737</v>
      </c>
      <c r="S13" s="5">
        <v>20.0</v>
      </c>
      <c r="T13" s="5">
        <v>44.0</v>
      </c>
      <c r="U13" s="5">
        <v>20.0</v>
      </c>
      <c r="V13" s="5" t="s">
        <v>126</v>
      </c>
      <c r="W13" s="24" t="s">
        <v>738</v>
      </c>
      <c r="X13" s="4"/>
      <c r="Y13" s="4"/>
      <c r="Z13" s="4"/>
    </row>
    <row r="14" ht="14.25" customHeight="1">
      <c r="A14" s="22"/>
      <c r="B14" s="23" t="s">
        <v>759</v>
      </c>
      <c r="C14" s="5" t="s">
        <v>760</v>
      </c>
      <c r="D14" s="5" t="s">
        <v>733</v>
      </c>
      <c r="E14" s="5">
        <v>2.0</v>
      </c>
      <c r="F14" s="5">
        <v>17.0</v>
      </c>
      <c r="G14" s="5">
        <v>100.0</v>
      </c>
      <c r="H14" s="5">
        <v>114.0</v>
      </c>
      <c r="I14" s="5">
        <f t="shared" si="1"/>
        <v>0.0114</v>
      </c>
      <c r="J14" s="5">
        <v>800.0</v>
      </c>
      <c r="K14" s="5">
        <v>16.0</v>
      </c>
      <c r="L14" s="5">
        <v>40.0</v>
      </c>
      <c r="M14" s="5">
        <v>175.0</v>
      </c>
      <c r="N14" s="5" t="s">
        <v>734</v>
      </c>
      <c r="O14" s="5" t="s">
        <v>735</v>
      </c>
      <c r="P14" s="5" t="s">
        <v>736</v>
      </c>
      <c r="Q14" s="5" t="s">
        <v>734</v>
      </c>
      <c r="R14" s="5" t="s">
        <v>737</v>
      </c>
      <c r="S14" s="5">
        <v>16.0</v>
      </c>
      <c r="T14" s="5">
        <v>40.0</v>
      </c>
      <c r="U14" s="5">
        <v>20.0</v>
      </c>
      <c r="V14" s="5" t="s">
        <v>126</v>
      </c>
      <c r="W14" s="24" t="s">
        <v>738</v>
      </c>
      <c r="X14" s="4"/>
      <c r="Y14" s="4"/>
      <c r="Z14" s="4"/>
    </row>
    <row r="15" ht="14.25" customHeight="1">
      <c r="A15" s="25"/>
      <c r="B15" s="23" t="s">
        <v>761</v>
      </c>
      <c r="C15" s="5" t="s">
        <v>762</v>
      </c>
      <c r="D15" s="5" t="s">
        <v>733</v>
      </c>
      <c r="E15" s="5">
        <v>2.0</v>
      </c>
      <c r="F15" s="5">
        <v>17.0</v>
      </c>
      <c r="G15" s="5">
        <v>100.0</v>
      </c>
      <c r="H15" s="5">
        <v>114.0</v>
      </c>
      <c r="I15" s="5">
        <f t="shared" si="1"/>
        <v>0.0114</v>
      </c>
      <c r="J15" s="5">
        <v>1000.0</v>
      </c>
      <c r="K15" s="5">
        <v>18.0</v>
      </c>
      <c r="L15" s="5">
        <v>40.0</v>
      </c>
      <c r="M15" s="5">
        <v>195.0</v>
      </c>
      <c r="N15" s="5" t="s">
        <v>734</v>
      </c>
      <c r="O15" s="5" t="s">
        <v>735</v>
      </c>
      <c r="P15" s="5" t="s">
        <v>736</v>
      </c>
      <c r="Q15" s="5" t="s">
        <v>734</v>
      </c>
      <c r="R15" s="5" t="s">
        <v>737</v>
      </c>
      <c r="S15" s="5">
        <v>12.0</v>
      </c>
      <c r="T15" s="5">
        <v>36.0</v>
      </c>
      <c r="U15" s="5">
        <v>20.0</v>
      </c>
      <c r="V15" s="5" t="s">
        <v>126</v>
      </c>
      <c r="W15" s="24" t="s">
        <v>738</v>
      </c>
      <c r="X15" s="4"/>
      <c r="Y15" s="4"/>
      <c r="Z15" s="4"/>
    </row>
    <row r="16" ht="14.25" customHeight="1">
      <c r="A16" s="16" t="s">
        <v>763</v>
      </c>
      <c r="B16" s="23" t="s">
        <v>764</v>
      </c>
      <c r="C16" s="5" t="s">
        <v>765</v>
      </c>
      <c r="D16" s="5" t="s">
        <v>733</v>
      </c>
      <c r="E16" s="5">
        <v>2.0</v>
      </c>
      <c r="F16" s="5">
        <v>17.0</v>
      </c>
      <c r="G16" s="5">
        <v>100.0</v>
      </c>
      <c r="H16" s="5">
        <v>114.0</v>
      </c>
      <c r="I16" s="5">
        <f t="shared" si="1"/>
        <v>0.0114</v>
      </c>
      <c r="J16" s="5">
        <v>150.0</v>
      </c>
      <c r="K16" s="5">
        <v>7.0</v>
      </c>
      <c r="L16" s="5">
        <v>40.0</v>
      </c>
      <c r="M16" s="5">
        <v>98.0</v>
      </c>
      <c r="N16" s="5" t="s">
        <v>734</v>
      </c>
      <c r="O16" s="5" t="s">
        <v>735</v>
      </c>
      <c r="P16" s="5" t="s">
        <v>766</v>
      </c>
      <c r="Q16" s="5" t="s">
        <v>734</v>
      </c>
      <c r="R16" s="5" t="s">
        <v>737</v>
      </c>
      <c r="S16" s="5">
        <v>64.0</v>
      </c>
      <c r="T16" s="5">
        <v>64.0</v>
      </c>
      <c r="U16" s="5">
        <v>20.0</v>
      </c>
      <c r="V16" s="5" t="s">
        <v>126</v>
      </c>
      <c r="W16" s="24" t="s">
        <v>738</v>
      </c>
      <c r="X16" s="4"/>
      <c r="Y16" s="4"/>
      <c r="Z16" s="4"/>
    </row>
    <row r="17" ht="14.25" customHeight="1">
      <c r="A17" s="22"/>
      <c r="B17" s="23" t="s">
        <v>767</v>
      </c>
      <c r="C17" s="5" t="s">
        <v>768</v>
      </c>
      <c r="D17" s="5" t="s">
        <v>733</v>
      </c>
      <c r="E17" s="5">
        <v>2.0</v>
      </c>
      <c r="F17" s="5">
        <v>17.0</v>
      </c>
      <c r="G17" s="5">
        <v>100.0</v>
      </c>
      <c r="H17" s="5">
        <v>114.0</v>
      </c>
      <c r="I17" s="5">
        <f t="shared" si="1"/>
        <v>0.0114</v>
      </c>
      <c r="J17" s="5">
        <v>200.0</v>
      </c>
      <c r="K17" s="5">
        <v>8.0</v>
      </c>
      <c r="L17" s="5">
        <v>40.0</v>
      </c>
      <c r="M17" s="5">
        <v>108.0</v>
      </c>
      <c r="N17" s="5" t="s">
        <v>734</v>
      </c>
      <c r="O17" s="5" t="s">
        <v>735</v>
      </c>
      <c r="P17" s="5" t="s">
        <v>766</v>
      </c>
      <c r="Q17" s="5" t="s">
        <v>734</v>
      </c>
      <c r="R17" s="5" t="s">
        <v>737</v>
      </c>
      <c r="S17" s="5">
        <v>48.0</v>
      </c>
      <c r="T17" s="5">
        <v>60.0</v>
      </c>
      <c r="U17" s="5">
        <v>20.0</v>
      </c>
      <c r="V17" s="5" t="s">
        <v>126</v>
      </c>
      <c r="W17" s="24" t="s">
        <v>738</v>
      </c>
      <c r="X17" s="4"/>
      <c r="Y17" s="4"/>
      <c r="Z17" s="4"/>
    </row>
    <row r="18" ht="14.25" customHeight="1">
      <c r="A18" s="22"/>
      <c r="B18" s="23" t="s">
        <v>769</v>
      </c>
      <c r="C18" s="5" t="s">
        <v>770</v>
      </c>
      <c r="D18" s="5" t="s">
        <v>733</v>
      </c>
      <c r="E18" s="5">
        <v>2.0</v>
      </c>
      <c r="F18" s="5">
        <v>17.0</v>
      </c>
      <c r="G18" s="5">
        <v>100.0</v>
      </c>
      <c r="H18" s="5">
        <v>114.0</v>
      </c>
      <c r="I18" s="5">
        <f t="shared" si="1"/>
        <v>0.0114</v>
      </c>
      <c r="J18" s="5">
        <v>250.0</v>
      </c>
      <c r="K18" s="5">
        <v>9.0</v>
      </c>
      <c r="L18" s="5">
        <v>40.0</v>
      </c>
      <c r="M18" s="5">
        <v>115.0</v>
      </c>
      <c r="N18" s="5" t="s">
        <v>734</v>
      </c>
      <c r="O18" s="5" t="s">
        <v>735</v>
      </c>
      <c r="P18" s="5" t="s">
        <v>766</v>
      </c>
      <c r="Q18" s="5" t="s">
        <v>734</v>
      </c>
      <c r="R18" s="5" t="s">
        <v>737</v>
      </c>
      <c r="S18" s="5">
        <v>40.0</v>
      </c>
      <c r="T18" s="5">
        <v>56.0</v>
      </c>
      <c r="U18" s="5">
        <v>20.0</v>
      </c>
      <c r="V18" s="5" t="s">
        <v>126</v>
      </c>
      <c r="W18" s="24" t="s">
        <v>738</v>
      </c>
      <c r="X18" s="4"/>
      <c r="Y18" s="4"/>
      <c r="Z18" s="4"/>
    </row>
    <row r="19" ht="14.25" customHeight="1">
      <c r="A19" s="22"/>
      <c r="B19" s="23" t="s">
        <v>771</v>
      </c>
      <c r="C19" s="5" t="s">
        <v>772</v>
      </c>
      <c r="D19" s="5" t="s">
        <v>733</v>
      </c>
      <c r="E19" s="5">
        <v>2.0</v>
      </c>
      <c r="F19" s="5">
        <v>17.0</v>
      </c>
      <c r="G19" s="5">
        <v>100.0</v>
      </c>
      <c r="H19" s="5">
        <v>114.0</v>
      </c>
      <c r="I19" s="5">
        <f t="shared" si="1"/>
        <v>0.0114</v>
      </c>
      <c r="J19" s="5">
        <v>300.0</v>
      </c>
      <c r="K19" s="5">
        <v>10.0</v>
      </c>
      <c r="L19" s="5">
        <v>40.0</v>
      </c>
      <c r="M19" s="5">
        <v>125.0</v>
      </c>
      <c r="N19" s="5" t="s">
        <v>734</v>
      </c>
      <c r="O19" s="5" t="s">
        <v>735</v>
      </c>
      <c r="P19" s="5" t="s">
        <v>766</v>
      </c>
      <c r="Q19" s="5" t="s">
        <v>734</v>
      </c>
      <c r="R19" s="5" t="s">
        <v>737</v>
      </c>
      <c r="S19" s="5">
        <v>36.0</v>
      </c>
      <c r="T19" s="5">
        <v>52.0</v>
      </c>
      <c r="U19" s="5">
        <v>20.0</v>
      </c>
      <c r="V19" s="5" t="s">
        <v>126</v>
      </c>
      <c r="W19" s="24" t="s">
        <v>738</v>
      </c>
      <c r="X19" s="4"/>
      <c r="Y19" s="4"/>
      <c r="Z19" s="4"/>
    </row>
    <row r="20" ht="14.25" customHeight="1">
      <c r="A20" s="22"/>
      <c r="B20" s="23" t="s">
        <v>773</v>
      </c>
      <c r="C20" s="5" t="s">
        <v>774</v>
      </c>
      <c r="D20" s="5" t="s">
        <v>733</v>
      </c>
      <c r="E20" s="5">
        <v>2.0</v>
      </c>
      <c r="F20" s="5">
        <v>17.0</v>
      </c>
      <c r="G20" s="5">
        <v>100.0</v>
      </c>
      <c r="H20" s="5">
        <v>114.0</v>
      </c>
      <c r="I20" s="5">
        <f t="shared" si="1"/>
        <v>0.0114</v>
      </c>
      <c r="J20" s="5">
        <v>400.0</v>
      </c>
      <c r="K20" s="5">
        <v>12.0</v>
      </c>
      <c r="L20" s="5">
        <v>40.0</v>
      </c>
      <c r="M20" s="5">
        <v>140.0</v>
      </c>
      <c r="N20" s="5" t="s">
        <v>734</v>
      </c>
      <c r="O20" s="5" t="s">
        <v>735</v>
      </c>
      <c r="P20" s="5" t="s">
        <v>766</v>
      </c>
      <c r="Q20" s="5" t="s">
        <v>734</v>
      </c>
      <c r="R20" s="5" t="s">
        <v>737</v>
      </c>
      <c r="S20" s="5">
        <v>28.0</v>
      </c>
      <c r="T20" s="5">
        <v>48.0</v>
      </c>
      <c r="U20" s="5">
        <v>20.0</v>
      </c>
      <c r="V20" s="5" t="s">
        <v>126</v>
      </c>
      <c r="W20" s="24" t="s">
        <v>738</v>
      </c>
      <c r="X20" s="4"/>
      <c r="Y20" s="4"/>
      <c r="Z20" s="4"/>
    </row>
    <row r="21" ht="14.25" customHeight="1">
      <c r="A21" s="25"/>
      <c r="B21" s="23" t="s">
        <v>775</v>
      </c>
      <c r="C21" s="5" t="s">
        <v>776</v>
      </c>
      <c r="D21" s="5" t="s">
        <v>733</v>
      </c>
      <c r="E21" s="5">
        <v>2.0</v>
      </c>
      <c r="F21" s="5">
        <v>17.0</v>
      </c>
      <c r="G21" s="5">
        <v>100.0</v>
      </c>
      <c r="H21" s="5">
        <v>114.0</v>
      </c>
      <c r="I21" s="5">
        <f t="shared" si="1"/>
        <v>0.0114</v>
      </c>
      <c r="J21" s="5">
        <v>500.0</v>
      </c>
      <c r="K21" s="5">
        <v>12.0</v>
      </c>
      <c r="L21" s="5">
        <v>40.0</v>
      </c>
      <c r="M21" s="5">
        <v>150.0</v>
      </c>
      <c r="N21" s="5" t="s">
        <v>734</v>
      </c>
      <c r="O21" s="5" t="s">
        <v>735</v>
      </c>
      <c r="P21" s="5" t="s">
        <v>766</v>
      </c>
      <c r="Q21" s="5" t="s">
        <v>734</v>
      </c>
      <c r="R21" s="5" t="s">
        <v>737</v>
      </c>
      <c r="S21" s="5">
        <v>24.0</v>
      </c>
      <c r="T21" s="5">
        <v>44.0</v>
      </c>
      <c r="U21" s="5">
        <v>20.0</v>
      </c>
      <c r="V21" s="5" t="s">
        <v>126</v>
      </c>
      <c r="W21" s="24" t="s">
        <v>738</v>
      </c>
      <c r="X21" s="4"/>
      <c r="Y21" s="4"/>
      <c r="Z21" s="4"/>
    </row>
    <row r="22" ht="14.25" customHeight="1">
      <c r="A22" s="16" t="s">
        <v>777</v>
      </c>
      <c r="B22" s="23" t="s">
        <v>778</v>
      </c>
      <c r="C22" s="5" t="s">
        <v>779</v>
      </c>
      <c r="D22" s="5" t="s">
        <v>733</v>
      </c>
      <c r="E22" s="5">
        <v>2.0</v>
      </c>
      <c r="F22" s="5">
        <v>17.0</v>
      </c>
      <c r="G22" s="5">
        <v>100.0</v>
      </c>
      <c r="H22" s="5">
        <v>114.0</v>
      </c>
      <c r="I22" s="5">
        <f t="shared" si="1"/>
        <v>0.0114</v>
      </c>
      <c r="J22" s="5">
        <v>150.0</v>
      </c>
      <c r="K22" s="5">
        <v>7.0</v>
      </c>
      <c r="L22" s="5">
        <v>40.0</v>
      </c>
      <c r="M22" s="5">
        <v>98.0</v>
      </c>
      <c r="N22" s="5" t="s">
        <v>734</v>
      </c>
      <c r="O22" s="5" t="s">
        <v>735</v>
      </c>
      <c r="P22" s="5" t="s">
        <v>766</v>
      </c>
      <c r="Q22" s="5" t="s">
        <v>734</v>
      </c>
      <c r="R22" s="5" t="s">
        <v>737</v>
      </c>
      <c r="S22" s="5">
        <v>64.0</v>
      </c>
      <c r="T22" s="5">
        <v>60.0</v>
      </c>
      <c r="U22" s="5">
        <v>20.0</v>
      </c>
      <c r="V22" s="5" t="s">
        <v>156</v>
      </c>
      <c r="W22" s="24" t="s">
        <v>738</v>
      </c>
      <c r="X22" s="4"/>
      <c r="Y22" s="4"/>
      <c r="Z22" s="4"/>
    </row>
    <row r="23" ht="14.25" customHeight="1">
      <c r="A23" s="22"/>
      <c r="B23" s="23" t="s">
        <v>780</v>
      </c>
      <c r="C23" s="5" t="s">
        <v>781</v>
      </c>
      <c r="D23" s="5" t="s">
        <v>733</v>
      </c>
      <c r="E23" s="5">
        <v>2.0</v>
      </c>
      <c r="F23" s="5">
        <v>17.0</v>
      </c>
      <c r="G23" s="5">
        <v>100.0</v>
      </c>
      <c r="H23" s="5">
        <v>114.0</v>
      </c>
      <c r="I23" s="5">
        <f t="shared" si="1"/>
        <v>0.0114</v>
      </c>
      <c r="J23" s="5">
        <v>200.0</v>
      </c>
      <c r="K23" s="5">
        <v>8.0</v>
      </c>
      <c r="L23" s="5">
        <v>40.0</v>
      </c>
      <c r="M23" s="5">
        <v>108.0</v>
      </c>
      <c r="N23" s="5" t="s">
        <v>734</v>
      </c>
      <c r="O23" s="5" t="s">
        <v>735</v>
      </c>
      <c r="P23" s="5" t="s">
        <v>766</v>
      </c>
      <c r="Q23" s="5" t="s">
        <v>734</v>
      </c>
      <c r="R23" s="5" t="s">
        <v>737</v>
      </c>
      <c r="S23" s="5">
        <v>48.0</v>
      </c>
      <c r="T23" s="5">
        <v>56.0</v>
      </c>
      <c r="U23" s="5">
        <v>20.0</v>
      </c>
      <c r="V23" s="5" t="s">
        <v>156</v>
      </c>
      <c r="W23" s="24" t="s">
        <v>738</v>
      </c>
      <c r="X23" s="4"/>
      <c r="Y23" s="4"/>
      <c r="Z23" s="4"/>
    </row>
    <row r="24" ht="14.25" customHeight="1">
      <c r="A24" s="22"/>
      <c r="B24" s="23" t="s">
        <v>782</v>
      </c>
      <c r="C24" s="5" t="s">
        <v>783</v>
      </c>
      <c r="D24" s="5" t="s">
        <v>733</v>
      </c>
      <c r="E24" s="5">
        <v>2.0</v>
      </c>
      <c r="F24" s="5">
        <v>17.0</v>
      </c>
      <c r="G24" s="5">
        <v>100.0</v>
      </c>
      <c r="H24" s="5">
        <v>114.0</v>
      </c>
      <c r="I24" s="5">
        <f t="shared" si="1"/>
        <v>0.0114</v>
      </c>
      <c r="J24" s="5">
        <v>250.0</v>
      </c>
      <c r="K24" s="5">
        <v>9.0</v>
      </c>
      <c r="L24" s="5">
        <v>40.0</v>
      </c>
      <c r="M24" s="5">
        <v>115.0</v>
      </c>
      <c r="N24" s="5" t="s">
        <v>734</v>
      </c>
      <c r="O24" s="5" t="s">
        <v>735</v>
      </c>
      <c r="P24" s="5" t="s">
        <v>766</v>
      </c>
      <c r="Q24" s="5" t="s">
        <v>734</v>
      </c>
      <c r="R24" s="5" t="s">
        <v>737</v>
      </c>
      <c r="S24" s="5">
        <v>40.0</v>
      </c>
      <c r="T24" s="5">
        <v>52.0</v>
      </c>
      <c r="U24" s="5">
        <v>20.0</v>
      </c>
      <c r="V24" s="5" t="s">
        <v>156</v>
      </c>
      <c r="W24" s="24" t="s">
        <v>738</v>
      </c>
      <c r="X24" s="4"/>
      <c r="Y24" s="4"/>
      <c r="Z24" s="4"/>
    </row>
    <row r="25" ht="14.25" customHeight="1">
      <c r="A25" s="22"/>
      <c r="B25" s="23" t="s">
        <v>784</v>
      </c>
      <c r="C25" s="5" t="s">
        <v>785</v>
      </c>
      <c r="D25" s="5" t="s">
        <v>733</v>
      </c>
      <c r="E25" s="5">
        <v>2.0</v>
      </c>
      <c r="F25" s="5">
        <v>17.0</v>
      </c>
      <c r="G25" s="5">
        <v>100.0</v>
      </c>
      <c r="H25" s="5">
        <v>114.0</v>
      </c>
      <c r="I25" s="5">
        <f t="shared" si="1"/>
        <v>0.0114</v>
      </c>
      <c r="J25" s="5">
        <v>300.0</v>
      </c>
      <c r="K25" s="5">
        <v>10.0</v>
      </c>
      <c r="L25" s="5">
        <v>40.0</v>
      </c>
      <c r="M25" s="5">
        <v>125.0</v>
      </c>
      <c r="N25" s="5" t="s">
        <v>734</v>
      </c>
      <c r="O25" s="5" t="s">
        <v>735</v>
      </c>
      <c r="P25" s="5" t="s">
        <v>766</v>
      </c>
      <c r="Q25" s="5" t="s">
        <v>734</v>
      </c>
      <c r="R25" s="5" t="s">
        <v>737</v>
      </c>
      <c r="S25" s="5">
        <v>36.0</v>
      </c>
      <c r="T25" s="5">
        <v>48.0</v>
      </c>
      <c r="U25" s="5">
        <v>20.0</v>
      </c>
      <c r="V25" s="5" t="s">
        <v>156</v>
      </c>
      <c r="W25" s="24" t="s">
        <v>738</v>
      </c>
      <c r="X25" s="4"/>
      <c r="Y25" s="4"/>
      <c r="Z25" s="4"/>
    </row>
    <row r="26" ht="14.25" customHeight="1">
      <c r="A26" s="22"/>
      <c r="B26" s="23" t="s">
        <v>786</v>
      </c>
      <c r="C26" s="5" t="s">
        <v>787</v>
      </c>
      <c r="D26" s="5" t="s">
        <v>733</v>
      </c>
      <c r="E26" s="5">
        <v>2.0</v>
      </c>
      <c r="F26" s="5">
        <v>17.0</v>
      </c>
      <c r="G26" s="5">
        <v>100.0</v>
      </c>
      <c r="H26" s="5">
        <v>114.0</v>
      </c>
      <c r="I26" s="5">
        <f t="shared" si="1"/>
        <v>0.0114</v>
      </c>
      <c r="J26" s="5">
        <v>400.0</v>
      </c>
      <c r="K26" s="5">
        <v>12.0</v>
      </c>
      <c r="L26" s="5">
        <v>40.0</v>
      </c>
      <c r="M26" s="5">
        <v>140.0</v>
      </c>
      <c r="N26" s="5" t="s">
        <v>734</v>
      </c>
      <c r="O26" s="5" t="s">
        <v>735</v>
      </c>
      <c r="P26" s="5" t="s">
        <v>766</v>
      </c>
      <c r="Q26" s="5" t="s">
        <v>734</v>
      </c>
      <c r="R26" s="5" t="s">
        <v>737</v>
      </c>
      <c r="S26" s="5">
        <v>28.0</v>
      </c>
      <c r="T26" s="5">
        <v>44.0</v>
      </c>
      <c r="U26" s="5">
        <v>20.0</v>
      </c>
      <c r="V26" s="5" t="s">
        <v>156</v>
      </c>
      <c r="W26" s="24" t="s">
        <v>738</v>
      </c>
      <c r="X26" s="4"/>
      <c r="Y26" s="4"/>
      <c r="Z26" s="4"/>
    </row>
    <row r="27" ht="14.25" customHeight="1">
      <c r="A27" s="25"/>
      <c r="B27" s="23" t="s">
        <v>788</v>
      </c>
      <c r="C27" s="5" t="s">
        <v>789</v>
      </c>
      <c r="D27" s="5" t="s">
        <v>733</v>
      </c>
      <c r="E27" s="5">
        <v>2.0</v>
      </c>
      <c r="F27" s="5">
        <v>17.0</v>
      </c>
      <c r="G27" s="5">
        <v>100.0</v>
      </c>
      <c r="H27" s="5">
        <v>114.0</v>
      </c>
      <c r="I27" s="5">
        <f t="shared" si="1"/>
        <v>0.0114</v>
      </c>
      <c r="J27" s="5">
        <v>500.0</v>
      </c>
      <c r="K27" s="5">
        <v>12.0</v>
      </c>
      <c r="L27" s="5">
        <v>40.0</v>
      </c>
      <c r="M27" s="5">
        <v>150.0</v>
      </c>
      <c r="N27" s="5" t="s">
        <v>734</v>
      </c>
      <c r="O27" s="5" t="s">
        <v>735</v>
      </c>
      <c r="P27" s="5" t="s">
        <v>766</v>
      </c>
      <c r="Q27" s="5" t="s">
        <v>734</v>
      </c>
      <c r="R27" s="5" t="s">
        <v>737</v>
      </c>
      <c r="S27" s="5">
        <v>24.0</v>
      </c>
      <c r="T27" s="5">
        <v>40.0</v>
      </c>
      <c r="U27" s="5">
        <v>20.0</v>
      </c>
      <c r="V27" s="5" t="s">
        <v>156</v>
      </c>
      <c r="W27" s="24" t="s">
        <v>738</v>
      </c>
      <c r="X27" s="4"/>
      <c r="Y27" s="4"/>
      <c r="Z27" s="4"/>
    </row>
    <row r="28" ht="14.25" customHeight="1">
      <c r="A28" s="16" t="s">
        <v>790</v>
      </c>
      <c r="B28" s="23" t="s">
        <v>791</v>
      </c>
      <c r="C28" s="5" t="s">
        <v>792</v>
      </c>
      <c r="D28" s="5" t="s">
        <v>733</v>
      </c>
      <c r="E28" s="5">
        <v>2.0</v>
      </c>
      <c r="F28" s="5">
        <v>17.0</v>
      </c>
      <c r="G28" s="5">
        <v>100.0</v>
      </c>
      <c r="H28" s="5">
        <v>114.0</v>
      </c>
      <c r="I28" s="5">
        <f t="shared" si="1"/>
        <v>0.0114</v>
      </c>
      <c r="J28" s="5">
        <v>150.0</v>
      </c>
      <c r="K28" s="5">
        <v>7.0</v>
      </c>
      <c r="L28" s="5">
        <v>40.0</v>
      </c>
      <c r="M28" s="5">
        <v>95.0</v>
      </c>
      <c r="N28" s="5" t="s">
        <v>734</v>
      </c>
      <c r="O28" s="5" t="s">
        <v>735</v>
      </c>
      <c r="P28" s="5" t="s">
        <v>793</v>
      </c>
      <c r="Q28" s="5" t="s">
        <v>734</v>
      </c>
      <c r="R28" s="5" t="s">
        <v>794</v>
      </c>
      <c r="S28" s="5">
        <v>64.0</v>
      </c>
      <c r="T28" s="5">
        <v>64.0</v>
      </c>
      <c r="U28" s="5">
        <v>20.0</v>
      </c>
      <c r="V28" s="5" t="s">
        <v>182</v>
      </c>
      <c r="W28" s="24" t="s">
        <v>738</v>
      </c>
      <c r="X28" s="4"/>
      <c r="Y28" s="4"/>
      <c r="Z28" s="4"/>
    </row>
    <row r="29" ht="14.25" customHeight="1">
      <c r="A29" s="22"/>
      <c r="B29" s="23" t="s">
        <v>795</v>
      </c>
      <c r="C29" s="5" t="s">
        <v>796</v>
      </c>
      <c r="D29" s="5" t="s">
        <v>733</v>
      </c>
      <c r="E29" s="5">
        <v>2.0</v>
      </c>
      <c r="F29" s="5">
        <v>17.0</v>
      </c>
      <c r="G29" s="5">
        <v>100.0</v>
      </c>
      <c r="H29" s="5">
        <v>114.0</v>
      </c>
      <c r="I29" s="5">
        <f t="shared" si="1"/>
        <v>0.0114</v>
      </c>
      <c r="J29" s="5">
        <v>200.0</v>
      </c>
      <c r="K29" s="5">
        <v>8.0</v>
      </c>
      <c r="L29" s="5">
        <v>40.0</v>
      </c>
      <c r="M29" s="5">
        <v>105.0</v>
      </c>
      <c r="N29" s="5" t="s">
        <v>734</v>
      </c>
      <c r="O29" s="5" t="s">
        <v>735</v>
      </c>
      <c r="P29" s="5" t="s">
        <v>793</v>
      </c>
      <c r="Q29" s="5" t="s">
        <v>734</v>
      </c>
      <c r="R29" s="5" t="s">
        <v>794</v>
      </c>
      <c r="S29" s="5">
        <v>48.0</v>
      </c>
      <c r="T29" s="5">
        <v>60.0</v>
      </c>
      <c r="U29" s="5">
        <v>20.0</v>
      </c>
      <c r="V29" s="5" t="s">
        <v>182</v>
      </c>
      <c r="W29" s="24" t="s">
        <v>738</v>
      </c>
      <c r="X29" s="4"/>
      <c r="Y29" s="4"/>
      <c r="Z29" s="4"/>
    </row>
    <row r="30" ht="14.25" customHeight="1">
      <c r="A30" s="22"/>
      <c r="B30" s="23" t="s">
        <v>797</v>
      </c>
      <c r="C30" s="5" t="s">
        <v>798</v>
      </c>
      <c r="D30" s="5" t="s">
        <v>733</v>
      </c>
      <c r="E30" s="5">
        <v>2.0</v>
      </c>
      <c r="F30" s="5">
        <v>17.0</v>
      </c>
      <c r="G30" s="5">
        <v>100.0</v>
      </c>
      <c r="H30" s="5">
        <v>114.0</v>
      </c>
      <c r="I30" s="5">
        <f t="shared" si="1"/>
        <v>0.0114</v>
      </c>
      <c r="J30" s="5">
        <v>250.0</v>
      </c>
      <c r="K30" s="5">
        <v>9.0</v>
      </c>
      <c r="L30" s="5">
        <v>40.0</v>
      </c>
      <c r="M30" s="5">
        <v>112.0</v>
      </c>
      <c r="N30" s="5" t="s">
        <v>734</v>
      </c>
      <c r="O30" s="5" t="s">
        <v>735</v>
      </c>
      <c r="P30" s="5" t="s">
        <v>793</v>
      </c>
      <c r="Q30" s="5" t="s">
        <v>734</v>
      </c>
      <c r="R30" s="5" t="s">
        <v>794</v>
      </c>
      <c r="S30" s="5">
        <v>40.0</v>
      </c>
      <c r="T30" s="5">
        <v>56.0</v>
      </c>
      <c r="U30" s="5">
        <v>20.0</v>
      </c>
      <c r="V30" s="5" t="s">
        <v>182</v>
      </c>
      <c r="W30" s="24" t="s">
        <v>738</v>
      </c>
      <c r="X30" s="4"/>
      <c r="Y30" s="4"/>
      <c r="Z30" s="4"/>
    </row>
    <row r="31" ht="14.25" customHeight="1">
      <c r="A31" s="22"/>
      <c r="B31" s="23" t="s">
        <v>799</v>
      </c>
      <c r="C31" s="5" t="s">
        <v>800</v>
      </c>
      <c r="D31" s="5" t="s">
        <v>733</v>
      </c>
      <c r="E31" s="5">
        <v>2.0</v>
      </c>
      <c r="F31" s="5">
        <v>17.0</v>
      </c>
      <c r="G31" s="5">
        <v>100.0</v>
      </c>
      <c r="H31" s="5">
        <v>114.0</v>
      </c>
      <c r="I31" s="5">
        <f t="shared" si="1"/>
        <v>0.0114</v>
      </c>
      <c r="J31" s="5">
        <v>300.0</v>
      </c>
      <c r="K31" s="5">
        <v>10.0</v>
      </c>
      <c r="L31" s="5">
        <v>40.0</v>
      </c>
      <c r="M31" s="5">
        <v>120.0</v>
      </c>
      <c r="N31" s="5" t="s">
        <v>734</v>
      </c>
      <c r="O31" s="5" t="s">
        <v>735</v>
      </c>
      <c r="P31" s="5" t="s">
        <v>793</v>
      </c>
      <c r="Q31" s="5" t="s">
        <v>734</v>
      </c>
      <c r="R31" s="5" t="s">
        <v>794</v>
      </c>
      <c r="S31" s="5">
        <v>36.0</v>
      </c>
      <c r="T31" s="5">
        <v>56.0</v>
      </c>
      <c r="U31" s="5">
        <v>20.0</v>
      </c>
      <c r="V31" s="5" t="s">
        <v>182</v>
      </c>
      <c r="W31" s="24" t="s">
        <v>738</v>
      </c>
      <c r="X31" s="4"/>
      <c r="Y31" s="4"/>
      <c r="Z31" s="4"/>
    </row>
    <row r="32" ht="14.25" customHeight="1">
      <c r="A32" s="22"/>
      <c r="B32" s="23" t="s">
        <v>801</v>
      </c>
      <c r="C32" s="5" t="s">
        <v>802</v>
      </c>
      <c r="D32" s="5" t="s">
        <v>733</v>
      </c>
      <c r="E32" s="5">
        <v>2.0</v>
      </c>
      <c r="F32" s="5">
        <v>17.0</v>
      </c>
      <c r="G32" s="5">
        <v>100.0</v>
      </c>
      <c r="H32" s="5">
        <v>114.0</v>
      </c>
      <c r="I32" s="5">
        <f t="shared" si="1"/>
        <v>0.0114</v>
      </c>
      <c r="J32" s="5">
        <v>400.0</v>
      </c>
      <c r="K32" s="5">
        <v>12.0</v>
      </c>
      <c r="L32" s="5">
        <v>40.0</v>
      </c>
      <c r="M32" s="5">
        <v>135.0</v>
      </c>
      <c r="N32" s="5" t="s">
        <v>734</v>
      </c>
      <c r="O32" s="5" t="s">
        <v>735</v>
      </c>
      <c r="P32" s="5" t="s">
        <v>793</v>
      </c>
      <c r="Q32" s="5" t="s">
        <v>734</v>
      </c>
      <c r="R32" s="5" t="s">
        <v>794</v>
      </c>
      <c r="S32" s="5">
        <v>28.0</v>
      </c>
      <c r="T32" s="5">
        <v>48.0</v>
      </c>
      <c r="U32" s="5">
        <v>20.0</v>
      </c>
      <c r="V32" s="5" t="s">
        <v>182</v>
      </c>
      <c r="W32" s="24" t="s">
        <v>738</v>
      </c>
      <c r="X32" s="4"/>
      <c r="Y32" s="4"/>
      <c r="Z32" s="4"/>
    </row>
    <row r="33" ht="14.25" customHeight="1">
      <c r="A33" s="22"/>
      <c r="B33" s="23" t="s">
        <v>803</v>
      </c>
      <c r="C33" s="5" t="s">
        <v>804</v>
      </c>
      <c r="D33" s="5" t="s">
        <v>733</v>
      </c>
      <c r="E33" s="5">
        <v>2.0</v>
      </c>
      <c r="F33" s="5">
        <v>17.0</v>
      </c>
      <c r="G33" s="5">
        <v>100.0</v>
      </c>
      <c r="H33" s="5">
        <v>114.0</v>
      </c>
      <c r="I33" s="5">
        <f t="shared" si="1"/>
        <v>0.0114</v>
      </c>
      <c r="J33" s="5">
        <v>500.0</v>
      </c>
      <c r="K33" s="5">
        <v>12.0</v>
      </c>
      <c r="L33" s="5">
        <v>40.0</v>
      </c>
      <c r="M33" s="5">
        <v>145.0</v>
      </c>
      <c r="N33" s="5" t="s">
        <v>734</v>
      </c>
      <c r="O33" s="5" t="s">
        <v>735</v>
      </c>
      <c r="P33" s="5" t="s">
        <v>793</v>
      </c>
      <c r="Q33" s="5" t="s">
        <v>734</v>
      </c>
      <c r="R33" s="5" t="s">
        <v>794</v>
      </c>
      <c r="S33" s="5">
        <v>24.0</v>
      </c>
      <c r="T33" s="5">
        <v>48.0</v>
      </c>
      <c r="U33" s="5">
        <v>20.0</v>
      </c>
      <c r="V33" s="5" t="s">
        <v>182</v>
      </c>
      <c r="W33" s="24" t="s">
        <v>738</v>
      </c>
      <c r="X33" s="4"/>
      <c r="Y33" s="4"/>
      <c r="Z33" s="4"/>
    </row>
    <row r="34" ht="14.25" customHeight="1">
      <c r="A34" s="22"/>
      <c r="B34" s="23" t="s">
        <v>805</v>
      </c>
      <c r="C34" s="5" t="s">
        <v>806</v>
      </c>
      <c r="D34" s="5" t="s">
        <v>733</v>
      </c>
      <c r="E34" s="5">
        <v>2.0</v>
      </c>
      <c r="F34" s="5">
        <v>17.0</v>
      </c>
      <c r="G34" s="5">
        <v>100.0</v>
      </c>
      <c r="H34" s="5">
        <v>114.0</v>
      </c>
      <c r="I34" s="5">
        <f t="shared" si="1"/>
        <v>0.0114</v>
      </c>
      <c r="J34" s="5">
        <v>600.0</v>
      </c>
      <c r="K34" s="5">
        <v>14.0</v>
      </c>
      <c r="L34" s="5">
        <v>40.0</v>
      </c>
      <c r="M34" s="5">
        <v>155.0</v>
      </c>
      <c r="N34" s="5" t="s">
        <v>734</v>
      </c>
      <c r="O34" s="5" t="s">
        <v>735</v>
      </c>
      <c r="P34" s="5" t="s">
        <v>793</v>
      </c>
      <c r="Q34" s="5" t="s">
        <v>734</v>
      </c>
      <c r="R34" s="5" t="s">
        <v>794</v>
      </c>
      <c r="S34" s="5">
        <v>20.0</v>
      </c>
      <c r="T34" s="5">
        <v>44.0</v>
      </c>
      <c r="U34" s="5">
        <v>20.0</v>
      </c>
      <c r="V34" s="5" t="s">
        <v>182</v>
      </c>
      <c r="W34" s="24" t="s">
        <v>738</v>
      </c>
      <c r="X34" s="4"/>
      <c r="Y34" s="4"/>
      <c r="Z34" s="4"/>
    </row>
    <row r="35" ht="14.25" customHeight="1">
      <c r="A35" s="22"/>
      <c r="B35" s="23" t="s">
        <v>807</v>
      </c>
      <c r="C35" s="5" t="s">
        <v>808</v>
      </c>
      <c r="D35" s="5" t="s">
        <v>733</v>
      </c>
      <c r="E35" s="5">
        <v>2.0</v>
      </c>
      <c r="F35" s="5">
        <v>17.0</v>
      </c>
      <c r="G35" s="5">
        <v>100.0</v>
      </c>
      <c r="H35" s="5">
        <v>114.0</v>
      </c>
      <c r="I35" s="5">
        <f t="shared" si="1"/>
        <v>0.0114</v>
      </c>
      <c r="J35" s="5">
        <v>200.0</v>
      </c>
      <c r="K35" s="5">
        <v>8.0</v>
      </c>
      <c r="L35" s="5">
        <v>40.0</v>
      </c>
      <c r="M35" s="5">
        <v>105.0</v>
      </c>
      <c r="N35" s="5" t="s">
        <v>734</v>
      </c>
      <c r="O35" s="5" t="s">
        <v>735</v>
      </c>
      <c r="P35" s="5" t="s">
        <v>793</v>
      </c>
      <c r="Q35" s="5" t="s">
        <v>734</v>
      </c>
      <c r="R35" s="5" t="s">
        <v>794</v>
      </c>
      <c r="S35" s="5">
        <v>48.0</v>
      </c>
      <c r="T35" s="5">
        <v>60.0</v>
      </c>
      <c r="U35" s="5">
        <v>20.0</v>
      </c>
      <c r="V35" s="5" t="s">
        <v>188</v>
      </c>
      <c r="W35" s="24" t="s">
        <v>738</v>
      </c>
      <c r="X35" s="4"/>
      <c r="Y35" s="4"/>
      <c r="Z35" s="4"/>
    </row>
    <row r="36" ht="14.25" customHeight="1">
      <c r="A36" s="25"/>
      <c r="B36" s="23" t="s">
        <v>809</v>
      </c>
      <c r="C36" s="5" t="s">
        <v>810</v>
      </c>
      <c r="D36" s="5" t="s">
        <v>733</v>
      </c>
      <c r="E36" s="5">
        <v>2.0</v>
      </c>
      <c r="F36" s="5">
        <v>17.0</v>
      </c>
      <c r="G36" s="5">
        <v>100.0</v>
      </c>
      <c r="H36" s="5">
        <v>114.0</v>
      </c>
      <c r="I36" s="5">
        <f t="shared" si="1"/>
        <v>0.0114</v>
      </c>
      <c r="J36" s="5">
        <v>300.0</v>
      </c>
      <c r="K36" s="5">
        <v>10.0</v>
      </c>
      <c r="L36" s="5">
        <v>40.0</v>
      </c>
      <c r="M36" s="5">
        <v>120.0</v>
      </c>
      <c r="N36" s="5" t="s">
        <v>734</v>
      </c>
      <c r="O36" s="5" t="s">
        <v>735</v>
      </c>
      <c r="P36" s="5" t="s">
        <v>793</v>
      </c>
      <c r="Q36" s="5" t="s">
        <v>734</v>
      </c>
      <c r="R36" s="5" t="s">
        <v>794</v>
      </c>
      <c r="S36" s="5">
        <v>36.0</v>
      </c>
      <c r="T36" s="5">
        <v>56.0</v>
      </c>
      <c r="U36" s="5">
        <v>20.0</v>
      </c>
      <c r="V36" s="5" t="s">
        <v>188</v>
      </c>
      <c r="W36" s="24" t="s">
        <v>738</v>
      </c>
      <c r="X36" s="4"/>
      <c r="Y36" s="4"/>
      <c r="Z36" s="4"/>
    </row>
    <row r="37" ht="14.25" customHeight="1">
      <c r="A37" s="16" t="s">
        <v>811</v>
      </c>
      <c r="B37" s="23" t="s">
        <v>812</v>
      </c>
      <c r="C37" s="5" t="s">
        <v>813</v>
      </c>
      <c r="D37" s="5" t="s">
        <v>733</v>
      </c>
      <c r="E37" s="5">
        <v>2.0</v>
      </c>
      <c r="F37" s="5">
        <v>17.0</v>
      </c>
      <c r="G37" s="5">
        <v>100.0</v>
      </c>
      <c r="H37" s="5">
        <v>114.0</v>
      </c>
      <c r="I37" s="5">
        <f t="shared" si="1"/>
        <v>0.0114</v>
      </c>
      <c r="J37" s="5">
        <v>200.0</v>
      </c>
      <c r="K37" s="5">
        <v>8.0</v>
      </c>
      <c r="L37" s="5">
        <v>40.0</v>
      </c>
      <c r="M37" s="5">
        <v>105.0</v>
      </c>
      <c r="N37" s="5" t="s">
        <v>734</v>
      </c>
      <c r="O37" s="5" t="s">
        <v>735</v>
      </c>
      <c r="P37" s="5" t="s">
        <v>793</v>
      </c>
      <c r="Q37" s="5" t="s">
        <v>734</v>
      </c>
      <c r="R37" s="5" t="s">
        <v>794</v>
      </c>
      <c r="S37" s="5">
        <v>48.0</v>
      </c>
      <c r="T37" s="5">
        <v>60.0</v>
      </c>
      <c r="U37" s="5">
        <v>20.0</v>
      </c>
      <c r="V37" s="5" t="s">
        <v>198</v>
      </c>
      <c r="W37" s="24" t="s">
        <v>738</v>
      </c>
      <c r="X37" s="4"/>
      <c r="Y37" s="4"/>
      <c r="Z37" s="4"/>
    </row>
    <row r="38" ht="14.25" customHeight="1">
      <c r="A38" s="22"/>
      <c r="B38" s="23" t="s">
        <v>814</v>
      </c>
      <c r="C38" s="5" t="s">
        <v>815</v>
      </c>
      <c r="D38" s="5" t="s">
        <v>733</v>
      </c>
      <c r="E38" s="5">
        <v>2.0</v>
      </c>
      <c r="F38" s="5">
        <v>17.0</v>
      </c>
      <c r="G38" s="5">
        <v>100.0</v>
      </c>
      <c r="H38" s="5">
        <v>114.0</v>
      </c>
      <c r="I38" s="5">
        <f t="shared" si="1"/>
        <v>0.0114</v>
      </c>
      <c r="J38" s="5">
        <v>300.0</v>
      </c>
      <c r="K38" s="5">
        <v>10.0</v>
      </c>
      <c r="L38" s="5">
        <v>40.0</v>
      </c>
      <c r="M38" s="5">
        <v>120.0</v>
      </c>
      <c r="N38" s="5" t="s">
        <v>734</v>
      </c>
      <c r="O38" s="5" t="s">
        <v>735</v>
      </c>
      <c r="P38" s="5" t="s">
        <v>793</v>
      </c>
      <c r="Q38" s="5" t="s">
        <v>734</v>
      </c>
      <c r="R38" s="5" t="s">
        <v>794</v>
      </c>
      <c r="S38" s="5">
        <v>36.0</v>
      </c>
      <c r="T38" s="5">
        <v>56.0</v>
      </c>
      <c r="U38" s="5">
        <v>20.0</v>
      </c>
      <c r="V38" s="5" t="s">
        <v>198</v>
      </c>
      <c r="W38" s="24" t="s">
        <v>738</v>
      </c>
      <c r="X38" s="4"/>
      <c r="Y38" s="4"/>
      <c r="Z38" s="4"/>
    </row>
    <row r="39" ht="14.25" customHeight="1">
      <c r="A39" s="22"/>
      <c r="B39" s="23" t="s">
        <v>816</v>
      </c>
      <c r="C39" s="5" t="s">
        <v>817</v>
      </c>
      <c r="D39" s="5" t="s">
        <v>733</v>
      </c>
      <c r="E39" s="5">
        <v>2.0</v>
      </c>
      <c r="F39" s="5">
        <v>17.0</v>
      </c>
      <c r="G39" s="5">
        <v>100.0</v>
      </c>
      <c r="H39" s="5">
        <v>114.0</v>
      </c>
      <c r="I39" s="5">
        <f t="shared" si="1"/>
        <v>0.0114</v>
      </c>
      <c r="J39" s="5">
        <v>400.0</v>
      </c>
      <c r="K39" s="5">
        <v>12.0</v>
      </c>
      <c r="L39" s="5">
        <v>40.0</v>
      </c>
      <c r="M39" s="5">
        <v>135.0</v>
      </c>
      <c r="N39" s="5" t="s">
        <v>734</v>
      </c>
      <c r="O39" s="5" t="s">
        <v>735</v>
      </c>
      <c r="P39" s="5" t="s">
        <v>793</v>
      </c>
      <c r="Q39" s="5" t="s">
        <v>734</v>
      </c>
      <c r="R39" s="5" t="s">
        <v>794</v>
      </c>
      <c r="S39" s="5">
        <v>28.0</v>
      </c>
      <c r="T39" s="5">
        <v>48.0</v>
      </c>
      <c r="U39" s="5">
        <v>20.0</v>
      </c>
      <c r="V39" s="5" t="s">
        <v>198</v>
      </c>
      <c r="W39" s="24" t="s">
        <v>738</v>
      </c>
      <c r="X39" s="4"/>
      <c r="Y39" s="4"/>
      <c r="Z39" s="4"/>
    </row>
    <row r="40" ht="14.25" customHeight="1">
      <c r="A40" s="25"/>
      <c r="B40" s="23" t="s">
        <v>818</v>
      </c>
      <c r="C40" s="5" t="s">
        <v>819</v>
      </c>
      <c r="D40" s="5" t="s">
        <v>733</v>
      </c>
      <c r="E40" s="5">
        <v>2.0</v>
      </c>
      <c r="F40" s="5">
        <v>17.0</v>
      </c>
      <c r="G40" s="5">
        <v>100.0</v>
      </c>
      <c r="H40" s="5">
        <v>114.0</v>
      </c>
      <c r="I40" s="5">
        <f t="shared" si="1"/>
        <v>0.0114</v>
      </c>
      <c r="J40" s="5">
        <v>500.0</v>
      </c>
      <c r="K40" s="5">
        <v>12.0</v>
      </c>
      <c r="L40" s="5">
        <v>40.0</v>
      </c>
      <c r="M40" s="5">
        <v>145.0</v>
      </c>
      <c r="N40" s="5" t="s">
        <v>734</v>
      </c>
      <c r="O40" s="5" t="s">
        <v>735</v>
      </c>
      <c r="P40" s="5" t="s">
        <v>793</v>
      </c>
      <c r="Q40" s="5" t="s">
        <v>734</v>
      </c>
      <c r="R40" s="5" t="s">
        <v>794</v>
      </c>
      <c r="S40" s="5">
        <v>24.0</v>
      </c>
      <c r="T40" s="5">
        <v>48.0</v>
      </c>
      <c r="U40" s="5">
        <v>20.0</v>
      </c>
      <c r="V40" s="5" t="s">
        <v>198</v>
      </c>
      <c r="W40" s="24" t="s">
        <v>738</v>
      </c>
      <c r="X40" s="4"/>
      <c r="Y40" s="4"/>
      <c r="Z40" s="4"/>
    </row>
    <row r="41" ht="14.25" customHeight="1">
      <c r="A41" s="16" t="s">
        <v>820</v>
      </c>
      <c r="B41" s="23" t="s">
        <v>821</v>
      </c>
      <c r="C41" s="5" t="s">
        <v>822</v>
      </c>
      <c r="D41" s="5" t="s">
        <v>733</v>
      </c>
      <c r="E41" s="5">
        <v>2.0</v>
      </c>
      <c r="F41" s="5">
        <v>17.0</v>
      </c>
      <c r="G41" s="5">
        <v>100.0</v>
      </c>
      <c r="H41" s="5">
        <v>114.0</v>
      </c>
      <c r="I41" s="5">
        <f t="shared" si="1"/>
        <v>0.0114</v>
      </c>
      <c r="J41" s="5">
        <v>150.0</v>
      </c>
      <c r="K41" s="5">
        <v>7.0</v>
      </c>
      <c r="L41" s="5">
        <v>40.0</v>
      </c>
      <c r="M41" s="5">
        <v>95.0</v>
      </c>
      <c r="N41" s="5" t="s">
        <v>734</v>
      </c>
      <c r="O41" s="5" t="s">
        <v>823</v>
      </c>
      <c r="P41" s="5" t="s">
        <v>736</v>
      </c>
      <c r="Q41" s="5" t="s">
        <v>734</v>
      </c>
      <c r="R41" s="5" t="s">
        <v>824</v>
      </c>
      <c r="S41" s="5">
        <v>64.0</v>
      </c>
      <c r="T41" s="5">
        <v>64.0</v>
      </c>
      <c r="U41" s="5">
        <v>20.0</v>
      </c>
      <c r="V41" s="5" t="s">
        <v>224</v>
      </c>
      <c r="W41" s="24" t="s">
        <v>825</v>
      </c>
      <c r="X41" s="4"/>
      <c r="Y41" s="4"/>
      <c r="Z41" s="4"/>
    </row>
    <row r="42" ht="14.25" customHeight="1">
      <c r="A42" s="22"/>
      <c r="B42" s="23" t="s">
        <v>826</v>
      </c>
      <c r="C42" s="5" t="s">
        <v>827</v>
      </c>
      <c r="D42" s="5" t="s">
        <v>733</v>
      </c>
      <c r="E42" s="5">
        <v>2.0</v>
      </c>
      <c r="F42" s="5">
        <v>17.0</v>
      </c>
      <c r="G42" s="5">
        <v>100.0</v>
      </c>
      <c r="H42" s="5">
        <v>114.0</v>
      </c>
      <c r="I42" s="5">
        <f t="shared" si="1"/>
        <v>0.0114</v>
      </c>
      <c r="J42" s="5">
        <v>200.0</v>
      </c>
      <c r="K42" s="5">
        <v>8.0</v>
      </c>
      <c r="L42" s="5">
        <v>40.0</v>
      </c>
      <c r="M42" s="5">
        <v>105.0</v>
      </c>
      <c r="N42" s="5" t="s">
        <v>734</v>
      </c>
      <c r="O42" s="5" t="s">
        <v>823</v>
      </c>
      <c r="P42" s="5" t="s">
        <v>736</v>
      </c>
      <c r="Q42" s="5" t="s">
        <v>734</v>
      </c>
      <c r="R42" s="5" t="s">
        <v>824</v>
      </c>
      <c r="S42" s="5">
        <v>48.0</v>
      </c>
      <c r="T42" s="5">
        <v>60.0</v>
      </c>
      <c r="U42" s="5">
        <v>20.0</v>
      </c>
      <c r="V42" s="5" t="s">
        <v>224</v>
      </c>
      <c r="W42" s="24" t="s">
        <v>825</v>
      </c>
      <c r="X42" s="4"/>
      <c r="Y42" s="4"/>
      <c r="Z42" s="4"/>
    </row>
    <row r="43" ht="14.25" customHeight="1">
      <c r="A43" s="22"/>
      <c r="B43" s="23" t="s">
        <v>828</v>
      </c>
      <c r="C43" s="5" t="s">
        <v>829</v>
      </c>
      <c r="D43" s="5" t="s">
        <v>733</v>
      </c>
      <c r="E43" s="5">
        <v>2.0</v>
      </c>
      <c r="F43" s="5">
        <v>17.0</v>
      </c>
      <c r="G43" s="5">
        <v>100.0</v>
      </c>
      <c r="H43" s="5">
        <v>114.0</v>
      </c>
      <c r="I43" s="5">
        <f t="shared" si="1"/>
        <v>0.0114</v>
      </c>
      <c r="J43" s="5">
        <v>250.0</v>
      </c>
      <c r="K43" s="5">
        <v>9.0</v>
      </c>
      <c r="L43" s="5">
        <v>40.0</v>
      </c>
      <c r="M43" s="5">
        <v>112.0</v>
      </c>
      <c r="N43" s="5" t="s">
        <v>734</v>
      </c>
      <c r="O43" s="5" t="s">
        <v>823</v>
      </c>
      <c r="P43" s="5" t="s">
        <v>736</v>
      </c>
      <c r="Q43" s="5" t="s">
        <v>734</v>
      </c>
      <c r="R43" s="5" t="s">
        <v>824</v>
      </c>
      <c r="S43" s="5">
        <v>40.0</v>
      </c>
      <c r="T43" s="5">
        <v>56.0</v>
      </c>
      <c r="U43" s="5">
        <v>20.0</v>
      </c>
      <c r="V43" s="5" t="s">
        <v>224</v>
      </c>
      <c r="W43" s="24" t="s">
        <v>825</v>
      </c>
      <c r="X43" s="4"/>
      <c r="Y43" s="4"/>
      <c r="Z43" s="4"/>
    </row>
    <row r="44" ht="14.25" customHeight="1">
      <c r="A44" s="22"/>
      <c r="B44" s="23" t="s">
        <v>830</v>
      </c>
      <c r="C44" s="5" t="s">
        <v>831</v>
      </c>
      <c r="D44" s="5" t="s">
        <v>733</v>
      </c>
      <c r="E44" s="5">
        <v>2.0</v>
      </c>
      <c r="F44" s="5">
        <v>17.0</v>
      </c>
      <c r="G44" s="5">
        <v>100.0</v>
      </c>
      <c r="H44" s="5">
        <v>114.0</v>
      </c>
      <c r="I44" s="5">
        <f t="shared" si="1"/>
        <v>0.0114</v>
      </c>
      <c r="J44" s="5">
        <v>300.0</v>
      </c>
      <c r="K44" s="5">
        <v>10.0</v>
      </c>
      <c r="L44" s="5">
        <v>40.0</v>
      </c>
      <c r="M44" s="5">
        <v>120.0</v>
      </c>
      <c r="N44" s="5" t="s">
        <v>734</v>
      </c>
      <c r="O44" s="5" t="s">
        <v>823</v>
      </c>
      <c r="P44" s="5" t="s">
        <v>736</v>
      </c>
      <c r="Q44" s="5" t="s">
        <v>734</v>
      </c>
      <c r="R44" s="5" t="s">
        <v>824</v>
      </c>
      <c r="S44" s="5">
        <v>36.0</v>
      </c>
      <c r="T44" s="5">
        <v>56.0</v>
      </c>
      <c r="U44" s="5">
        <v>20.0</v>
      </c>
      <c r="V44" s="5" t="s">
        <v>224</v>
      </c>
      <c r="W44" s="24" t="s">
        <v>825</v>
      </c>
      <c r="X44" s="4"/>
      <c r="Y44" s="4"/>
      <c r="Z44" s="4"/>
    </row>
    <row r="45" ht="14.25" customHeight="1">
      <c r="A45" s="22"/>
      <c r="B45" s="23" t="s">
        <v>832</v>
      </c>
      <c r="C45" s="5" t="s">
        <v>833</v>
      </c>
      <c r="D45" s="5" t="s">
        <v>733</v>
      </c>
      <c r="E45" s="5">
        <v>2.0</v>
      </c>
      <c r="F45" s="5">
        <v>17.0</v>
      </c>
      <c r="G45" s="5">
        <v>100.0</v>
      </c>
      <c r="H45" s="5">
        <v>114.0</v>
      </c>
      <c r="I45" s="5">
        <f t="shared" si="1"/>
        <v>0.0114</v>
      </c>
      <c r="J45" s="5">
        <v>400.0</v>
      </c>
      <c r="K45" s="5">
        <v>12.0</v>
      </c>
      <c r="L45" s="5">
        <v>40.0</v>
      </c>
      <c r="M45" s="5">
        <v>135.0</v>
      </c>
      <c r="N45" s="5" t="s">
        <v>734</v>
      </c>
      <c r="O45" s="5" t="s">
        <v>823</v>
      </c>
      <c r="P45" s="5" t="s">
        <v>736</v>
      </c>
      <c r="Q45" s="5" t="s">
        <v>734</v>
      </c>
      <c r="R45" s="5" t="s">
        <v>824</v>
      </c>
      <c r="S45" s="5">
        <v>28.0</v>
      </c>
      <c r="T45" s="5">
        <v>48.0</v>
      </c>
      <c r="U45" s="5">
        <v>20.0</v>
      </c>
      <c r="V45" s="5" t="s">
        <v>224</v>
      </c>
      <c r="W45" s="24" t="s">
        <v>825</v>
      </c>
      <c r="X45" s="4"/>
      <c r="Y45" s="4"/>
      <c r="Z45" s="4"/>
    </row>
    <row r="46" ht="14.25" customHeight="1">
      <c r="A46" s="22"/>
      <c r="B46" s="23" t="s">
        <v>834</v>
      </c>
      <c r="C46" s="5" t="s">
        <v>835</v>
      </c>
      <c r="D46" s="5" t="s">
        <v>733</v>
      </c>
      <c r="E46" s="5">
        <v>2.0</v>
      </c>
      <c r="F46" s="5">
        <v>17.0</v>
      </c>
      <c r="G46" s="5">
        <v>100.0</v>
      </c>
      <c r="H46" s="5">
        <v>114.0</v>
      </c>
      <c r="I46" s="5">
        <f t="shared" si="1"/>
        <v>0.0114</v>
      </c>
      <c r="J46" s="5">
        <v>200.0</v>
      </c>
      <c r="K46" s="5">
        <v>8.0</v>
      </c>
      <c r="L46" s="5">
        <v>40.0</v>
      </c>
      <c r="M46" s="5">
        <v>108.0</v>
      </c>
      <c r="N46" s="5" t="s">
        <v>734</v>
      </c>
      <c r="O46" s="5" t="s">
        <v>823</v>
      </c>
      <c r="P46" s="5" t="s">
        <v>766</v>
      </c>
      <c r="Q46" s="5" t="s">
        <v>734</v>
      </c>
      <c r="R46" s="5" t="s">
        <v>824</v>
      </c>
      <c r="S46" s="5">
        <v>48.0</v>
      </c>
      <c r="T46" s="5">
        <v>56.0</v>
      </c>
      <c r="U46" s="5">
        <v>20.0</v>
      </c>
      <c r="V46" s="5" t="s">
        <v>231</v>
      </c>
      <c r="W46" s="24" t="s">
        <v>825</v>
      </c>
      <c r="X46" s="4"/>
      <c r="Y46" s="4"/>
      <c r="Z46" s="4"/>
    </row>
    <row r="47" ht="14.25" customHeight="1">
      <c r="A47" s="25"/>
      <c r="B47" s="23" t="s">
        <v>836</v>
      </c>
      <c r="C47" s="5" t="s">
        <v>837</v>
      </c>
      <c r="D47" s="5" t="s">
        <v>733</v>
      </c>
      <c r="E47" s="5">
        <v>2.0</v>
      </c>
      <c r="F47" s="5">
        <v>17.0</v>
      </c>
      <c r="G47" s="5">
        <v>100.0</v>
      </c>
      <c r="H47" s="5">
        <v>114.0</v>
      </c>
      <c r="I47" s="5">
        <f t="shared" si="1"/>
        <v>0.0114</v>
      </c>
      <c r="J47" s="5">
        <v>300.0</v>
      </c>
      <c r="K47" s="5">
        <v>10.0</v>
      </c>
      <c r="L47" s="5">
        <v>40.0</v>
      </c>
      <c r="M47" s="5">
        <v>125.0</v>
      </c>
      <c r="N47" s="5" t="s">
        <v>734</v>
      </c>
      <c r="O47" s="5" t="s">
        <v>823</v>
      </c>
      <c r="P47" s="5" t="s">
        <v>766</v>
      </c>
      <c r="Q47" s="5" t="s">
        <v>734</v>
      </c>
      <c r="R47" s="5" t="s">
        <v>824</v>
      </c>
      <c r="S47" s="5">
        <v>36.0</v>
      </c>
      <c r="T47" s="5">
        <v>52.0</v>
      </c>
      <c r="U47" s="5">
        <v>20.0</v>
      </c>
      <c r="V47" s="5" t="s">
        <v>231</v>
      </c>
      <c r="W47" s="24" t="s">
        <v>825</v>
      </c>
      <c r="X47" s="4"/>
      <c r="Y47" s="4"/>
      <c r="Z47" s="4"/>
    </row>
    <row r="48" ht="14.25" customHeight="1">
      <c r="A48" s="16" t="s">
        <v>838</v>
      </c>
      <c r="B48" s="23" t="s">
        <v>839</v>
      </c>
      <c r="C48" s="5" t="s">
        <v>840</v>
      </c>
      <c r="D48" s="5" t="s">
        <v>733</v>
      </c>
      <c r="E48" s="5">
        <v>2.0</v>
      </c>
      <c r="F48" s="5">
        <v>17.0</v>
      </c>
      <c r="G48" s="5">
        <v>100.0</v>
      </c>
      <c r="H48" s="5">
        <v>114.0</v>
      </c>
      <c r="I48" s="5">
        <f t="shared" si="1"/>
        <v>0.0114</v>
      </c>
      <c r="J48" s="5">
        <v>200.0</v>
      </c>
      <c r="K48" s="5">
        <v>8.0</v>
      </c>
      <c r="L48" s="5">
        <v>40.0</v>
      </c>
      <c r="M48" s="5">
        <v>105.0</v>
      </c>
      <c r="N48" s="5" t="s">
        <v>734</v>
      </c>
      <c r="O48" s="5" t="s">
        <v>735</v>
      </c>
      <c r="P48" s="5" t="s">
        <v>736</v>
      </c>
      <c r="Q48" s="5" t="s">
        <v>734</v>
      </c>
      <c r="R48" s="5" t="s">
        <v>737</v>
      </c>
      <c r="S48" s="5">
        <v>48.0</v>
      </c>
      <c r="T48" s="5">
        <v>60.0</v>
      </c>
      <c r="U48" s="5">
        <v>20.0</v>
      </c>
      <c r="V48" s="5" t="s">
        <v>285</v>
      </c>
      <c r="W48" s="24" t="s">
        <v>825</v>
      </c>
      <c r="X48" s="4"/>
      <c r="Y48" s="4"/>
      <c r="Z48" s="4"/>
    </row>
    <row r="49" ht="14.25" customHeight="1">
      <c r="A49" s="22"/>
      <c r="B49" s="23" t="s">
        <v>841</v>
      </c>
      <c r="C49" s="5" t="s">
        <v>842</v>
      </c>
      <c r="D49" s="5" t="s">
        <v>733</v>
      </c>
      <c r="E49" s="5">
        <v>2.0</v>
      </c>
      <c r="F49" s="5">
        <v>17.0</v>
      </c>
      <c r="G49" s="5">
        <v>100.0</v>
      </c>
      <c r="H49" s="5">
        <v>114.0</v>
      </c>
      <c r="I49" s="5">
        <f t="shared" si="1"/>
        <v>0.0114</v>
      </c>
      <c r="J49" s="5">
        <v>300.0</v>
      </c>
      <c r="K49" s="5">
        <v>10.0</v>
      </c>
      <c r="L49" s="5">
        <v>40.0</v>
      </c>
      <c r="M49" s="5">
        <v>120.0</v>
      </c>
      <c r="N49" s="5" t="s">
        <v>734</v>
      </c>
      <c r="O49" s="5" t="s">
        <v>735</v>
      </c>
      <c r="P49" s="5" t="s">
        <v>736</v>
      </c>
      <c r="Q49" s="5" t="s">
        <v>734</v>
      </c>
      <c r="R49" s="5" t="s">
        <v>737</v>
      </c>
      <c r="S49" s="5">
        <v>36.0</v>
      </c>
      <c r="T49" s="5">
        <v>56.0</v>
      </c>
      <c r="U49" s="5">
        <v>20.0</v>
      </c>
      <c r="V49" s="5" t="s">
        <v>285</v>
      </c>
      <c r="W49" s="24" t="s">
        <v>825</v>
      </c>
      <c r="X49" s="4"/>
      <c r="Y49" s="4"/>
      <c r="Z49" s="4"/>
    </row>
    <row r="50" ht="14.25" customHeight="1">
      <c r="A50" s="22"/>
      <c r="B50" s="23" t="s">
        <v>843</v>
      </c>
      <c r="C50" s="5" t="s">
        <v>844</v>
      </c>
      <c r="D50" s="5" t="s">
        <v>733</v>
      </c>
      <c r="E50" s="5">
        <v>2.0</v>
      </c>
      <c r="F50" s="5">
        <v>17.0</v>
      </c>
      <c r="G50" s="5">
        <v>100.0</v>
      </c>
      <c r="H50" s="5">
        <v>114.0</v>
      </c>
      <c r="I50" s="5">
        <f t="shared" si="1"/>
        <v>0.0114</v>
      </c>
      <c r="J50" s="5">
        <v>400.0</v>
      </c>
      <c r="K50" s="5">
        <v>12.0</v>
      </c>
      <c r="L50" s="5">
        <v>40.0</v>
      </c>
      <c r="M50" s="5">
        <v>135.0</v>
      </c>
      <c r="N50" s="5" t="s">
        <v>734</v>
      </c>
      <c r="O50" s="5" t="s">
        <v>735</v>
      </c>
      <c r="P50" s="5" t="s">
        <v>736</v>
      </c>
      <c r="Q50" s="5" t="s">
        <v>734</v>
      </c>
      <c r="R50" s="5" t="s">
        <v>737</v>
      </c>
      <c r="S50" s="5">
        <v>28.0</v>
      </c>
      <c r="T50" s="5">
        <v>48.0</v>
      </c>
      <c r="U50" s="5">
        <v>20.0</v>
      </c>
      <c r="V50" s="5" t="s">
        <v>285</v>
      </c>
      <c r="W50" s="24" t="s">
        <v>825</v>
      </c>
      <c r="X50" s="4"/>
      <c r="Y50" s="4"/>
      <c r="Z50" s="4"/>
    </row>
    <row r="51" ht="14.25" customHeight="1">
      <c r="A51" s="25"/>
      <c r="B51" s="23" t="s">
        <v>845</v>
      </c>
      <c r="C51" s="5" t="s">
        <v>846</v>
      </c>
      <c r="D51" s="5" t="s">
        <v>733</v>
      </c>
      <c r="E51" s="5">
        <v>2.0</v>
      </c>
      <c r="F51" s="5">
        <v>17.0</v>
      </c>
      <c r="G51" s="5">
        <v>100.0</v>
      </c>
      <c r="H51" s="5">
        <v>114.0</v>
      </c>
      <c r="I51" s="5">
        <f t="shared" si="1"/>
        <v>0.0114</v>
      </c>
      <c r="J51" s="5">
        <v>500.0</v>
      </c>
      <c r="K51" s="5">
        <v>12.0</v>
      </c>
      <c r="L51" s="5">
        <v>40.0</v>
      </c>
      <c r="M51" s="5">
        <v>145.0</v>
      </c>
      <c r="N51" s="5" t="s">
        <v>734</v>
      </c>
      <c r="O51" s="5" t="s">
        <v>735</v>
      </c>
      <c r="P51" s="5" t="s">
        <v>736</v>
      </c>
      <c r="Q51" s="5" t="s">
        <v>734</v>
      </c>
      <c r="R51" s="5" t="s">
        <v>737</v>
      </c>
      <c r="S51" s="5">
        <v>24.0</v>
      </c>
      <c r="T51" s="5">
        <v>48.0</v>
      </c>
      <c r="U51" s="5">
        <v>20.0</v>
      </c>
      <c r="V51" s="5" t="s">
        <v>285</v>
      </c>
      <c r="W51" s="24" t="s">
        <v>825</v>
      </c>
      <c r="X51" s="4"/>
      <c r="Y51" s="4"/>
      <c r="Z51" s="4"/>
    </row>
    <row r="52" ht="14.25" customHeight="1">
      <c r="A52" s="16" t="s">
        <v>847</v>
      </c>
      <c r="B52" s="23" t="s">
        <v>848</v>
      </c>
      <c r="C52" s="5" t="s">
        <v>849</v>
      </c>
      <c r="D52" s="5" t="s">
        <v>733</v>
      </c>
      <c r="E52" s="5">
        <v>3.0</v>
      </c>
      <c r="F52" s="5">
        <v>15.0</v>
      </c>
      <c r="G52" s="5">
        <v>100.0</v>
      </c>
      <c r="H52" s="5">
        <v>114.0</v>
      </c>
      <c r="I52" s="5">
        <f t="shared" si="1"/>
        <v>0.0114</v>
      </c>
      <c r="J52" s="5">
        <v>100.0</v>
      </c>
      <c r="K52" s="5">
        <v>6.0</v>
      </c>
      <c r="L52" s="5">
        <v>40.0</v>
      </c>
      <c r="M52" s="5">
        <v>90.0</v>
      </c>
      <c r="N52" s="5" t="s">
        <v>734</v>
      </c>
      <c r="O52" s="5" t="s">
        <v>735</v>
      </c>
      <c r="P52" s="5" t="s">
        <v>736</v>
      </c>
      <c r="Q52" s="5" t="s">
        <v>734</v>
      </c>
      <c r="R52" s="5" t="s">
        <v>737</v>
      </c>
      <c r="S52" s="5">
        <v>80.0</v>
      </c>
      <c r="T52" s="5">
        <v>64.0</v>
      </c>
      <c r="U52" s="5">
        <v>20.0</v>
      </c>
      <c r="V52" s="5" t="s">
        <v>122</v>
      </c>
      <c r="W52" s="24" t="s">
        <v>738</v>
      </c>
      <c r="X52" s="4"/>
      <c r="Y52" s="4"/>
      <c r="Z52" s="4"/>
    </row>
    <row r="53" ht="14.25" customHeight="1">
      <c r="A53" s="22"/>
      <c r="B53" s="23" t="s">
        <v>850</v>
      </c>
      <c r="C53" s="5" t="s">
        <v>851</v>
      </c>
      <c r="D53" s="5" t="s">
        <v>733</v>
      </c>
      <c r="E53" s="5">
        <v>3.0</v>
      </c>
      <c r="F53" s="5">
        <v>15.0</v>
      </c>
      <c r="G53" s="5">
        <v>100.0</v>
      </c>
      <c r="H53" s="5">
        <v>114.0</v>
      </c>
      <c r="I53" s="5">
        <f t="shared" si="1"/>
        <v>0.0114</v>
      </c>
      <c r="J53" s="5">
        <v>120.0</v>
      </c>
      <c r="K53" s="5">
        <v>7.0</v>
      </c>
      <c r="L53" s="5">
        <v>40.0</v>
      </c>
      <c r="M53" s="5">
        <v>95.0</v>
      </c>
      <c r="N53" s="5" t="s">
        <v>734</v>
      </c>
      <c r="O53" s="5" t="s">
        <v>735</v>
      </c>
      <c r="P53" s="5" t="s">
        <v>736</v>
      </c>
      <c r="Q53" s="5" t="s">
        <v>734</v>
      </c>
      <c r="R53" s="5" t="s">
        <v>737</v>
      </c>
      <c r="S53" s="5">
        <v>72.0</v>
      </c>
      <c r="T53" s="5">
        <v>60.0</v>
      </c>
      <c r="U53" s="5">
        <v>20.0</v>
      </c>
      <c r="V53" s="5" t="s">
        <v>122</v>
      </c>
      <c r="W53" s="24" t="s">
        <v>738</v>
      </c>
      <c r="X53" s="4"/>
      <c r="Y53" s="4"/>
      <c r="Z53" s="4"/>
    </row>
    <row r="54" ht="14.25" customHeight="1">
      <c r="A54" s="22"/>
      <c r="B54" s="23" t="s">
        <v>852</v>
      </c>
      <c r="C54" s="5" t="s">
        <v>853</v>
      </c>
      <c r="D54" s="5" t="s">
        <v>733</v>
      </c>
      <c r="E54" s="5">
        <v>3.0</v>
      </c>
      <c r="F54" s="5">
        <v>15.0</v>
      </c>
      <c r="G54" s="5">
        <v>100.0</v>
      </c>
      <c r="H54" s="5">
        <v>114.0</v>
      </c>
      <c r="I54" s="5">
        <f t="shared" si="1"/>
        <v>0.0114</v>
      </c>
      <c r="J54" s="5">
        <v>150.0</v>
      </c>
      <c r="K54" s="5">
        <v>8.0</v>
      </c>
      <c r="L54" s="5">
        <v>40.0</v>
      </c>
      <c r="M54" s="5">
        <v>102.0</v>
      </c>
      <c r="N54" s="5" t="s">
        <v>734</v>
      </c>
      <c r="O54" s="5" t="s">
        <v>735</v>
      </c>
      <c r="P54" s="5" t="s">
        <v>736</v>
      </c>
      <c r="Q54" s="5" t="s">
        <v>734</v>
      </c>
      <c r="R54" s="5" t="s">
        <v>737</v>
      </c>
      <c r="S54" s="5">
        <v>56.0</v>
      </c>
      <c r="T54" s="5">
        <v>56.0</v>
      </c>
      <c r="U54" s="5">
        <v>20.0</v>
      </c>
      <c r="V54" s="5" t="s">
        <v>122</v>
      </c>
      <c r="W54" s="24" t="s">
        <v>738</v>
      </c>
      <c r="X54" s="4"/>
      <c r="Y54" s="4"/>
      <c r="Z54" s="4"/>
    </row>
    <row r="55" ht="14.25" customHeight="1">
      <c r="A55" s="22"/>
      <c r="B55" s="23" t="s">
        <v>854</v>
      </c>
      <c r="C55" s="5" t="s">
        <v>855</v>
      </c>
      <c r="D55" s="5" t="s">
        <v>733</v>
      </c>
      <c r="E55" s="5">
        <v>3.0</v>
      </c>
      <c r="F55" s="5">
        <v>15.0</v>
      </c>
      <c r="G55" s="5">
        <v>100.0</v>
      </c>
      <c r="H55" s="5">
        <v>114.0</v>
      </c>
      <c r="I55" s="5">
        <f t="shared" si="1"/>
        <v>0.0114</v>
      </c>
      <c r="J55" s="5">
        <v>180.0</v>
      </c>
      <c r="K55" s="5">
        <v>9.0</v>
      </c>
      <c r="L55" s="5">
        <v>40.0</v>
      </c>
      <c r="M55" s="5">
        <v>108.0</v>
      </c>
      <c r="N55" s="5" t="s">
        <v>734</v>
      </c>
      <c r="O55" s="5" t="s">
        <v>735</v>
      </c>
      <c r="P55" s="5" t="s">
        <v>736</v>
      </c>
      <c r="Q55" s="5" t="s">
        <v>734</v>
      </c>
      <c r="R55" s="5" t="s">
        <v>737</v>
      </c>
      <c r="S55" s="5">
        <v>48.0</v>
      </c>
      <c r="T55" s="5">
        <v>52.0</v>
      </c>
      <c r="U55" s="5">
        <v>20.0</v>
      </c>
      <c r="V55" s="5" t="s">
        <v>122</v>
      </c>
      <c r="W55" s="24" t="s">
        <v>738</v>
      </c>
      <c r="X55" s="4"/>
      <c r="Y55" s="4"/>
      <c r="Z55" s="4"/>
    </row>
    <row r="56" ht="14.25" customHeight="1">
      <c r="A56" s="22"/>
      <c r="B56" s="23" t="s">
        <v>856</v>
      </c>
      <c r="C56" s="5" t="s">
        <v>857</v>
      </c>
      <c r="D56" s="5" t="s">
        <v>733</v>
      </c>
      <c r="E56" s="5">
        <v>3.0</v>
      </c>
      <c r="F56" s="5">
        <v>15.0</v>
      </c>
      <c r="G56" s="5">
        <v>100.0</v>
      </c>
      <c r="H56" s="5">
        <v>114.0</v>
      </c>
      <c r="I56" s="5">
        <f t="shared" si="1"/>
        <v>0.0114</v>
      </c>
      <c r="J56" s="5">
        <v>200.0</v>
      </c>
      <c r="K56" s="5">
        <v>9.0</v>
      </c>
      <c r="L56" s="5">
        <v>40.0</v>
      </c>
      <c r="M56" s="5">
        <v>115.0</v>
      </c>
      <c r="N56" s="5" t="s">
        <v>734</v>
      </c>
      <c r="O56" s="5" t="s">
        <v>735</v>
      </c>
      <c r="P56" s="5" t="s">
        <v>736</v>
      </c>
      <c r="Q56" s="5" t="s">
        <v>734</v>
      </c>
      <c r="R56" s="5" t="s">
        <v>737</v>
      </c>
      <c r="S56" s="5">
        <v>40.0</v>
      </c>
      <c r="T56" s="5">
        <v>48.0</v>
      </c>
      <c r="U56" s="5">
        <v>20.0</v>
      </c>
      <c r="V56" s="5" t="s">
        <v>122</v>
      </c>
      <c r="W56" s="24" t="s">
        <v>738</v>
      </c>
      <c r="X56" s="4"/>
      <c r="Y56" s="4"/>
      <c r="Z56" s="4"/>
    </row>
    <row r="57" ht="14.25" customHeight="1">
      <c r="A57" s="22"/>
      <c r="B57" s="23" t="s">
        <v>858</v>
      </c>
      <c r="C57" s="5" t="s">
        <v>859</v>
      </c>
      <c r="D57" s="5" t="s">
        <v>733</v>
      </c>
      <c r="E57" s="5">
        <v>3.0</v>
      </c>
      <c r="F57" s="5">
        <v>15.0</v>
      </c>
      <c r="G57" s="5">
        <v>100.0</v>
      </c>
      <c r="H57" s="5">
        <v>114.0</v>
      </c>
      <c r="I57" s="5">
        <f t="shared" si="1"/>
        <v>0.0114</v>
      </c>
      <c r="J57" s="5">
        <v>250.0</v>
      </c>
      <c r="K57" s="5">
        <v>10.0</v>
      </c>
      <c r="L57" s="5">
        <v>40.0</v>
      </c>
      <c r="M57" s="5">
        <v>125.0</v>
      </c>
      <c r="N57" s="5" t="s">
        <v>734</v>
      </c>
      <c r="O57" s="5" t="s">
        <v>735</v>
      </c>
      <c r="P57" s="5" t="s">
        <v>736</v>
      </c>
      <c r="Q57" s="5" t="s">
        <v>734</v>
      </c>
      <c r="R57" s="5" t="s">
        <v>737</v>
      </c>
      <c r="S57" s="5">
        <v>32.0</v>
      </c>
      <c r="T57" s="5">
        <v>44.0</v>
      </c>
      <c r="U57" s="5">
        <v>20.0</v>
      </c>
      <c r="V57" s="5" t="s">
        <v>122</v>
      </c>
      <c r="W57" s="24" t="s">
        <v>738</v>
      </c>
      <c r="X57" s="4"/>
      <c r="Y57" s="4"/>
      <c r="Z57" s="4"/>
    </row>
    <row r="58" ht="14.25" customHeight="1">
      <c r="A58" s="22"/>
      <c r="B58" s="23" t="s">
        <v>860</v>
      </c>
      <c r="C58" s="5" t="s">
        <v>861</v>
      </c>
      <c r="D58" s="5" t="s">
        <v>733</v>
      </c>
      <c r="E58" s="5">
        <v>3.0</v>
      </c>
      <c r="F58" s="5">
        <v>15.0</v>
      </c>
      <c r="G58" s="5">
        <v>100.0</v>
      </c>
      <c r="H58" s="5">
        <v>114.0</v>
      </c>
      <c r="I58" s="5">
        <f t="shared" si="1"/>
        <v>0.0114</v>
      </c>
      <c r="J58" s="5">
        <v>300.0</v>
      </c>
      <c r="K58" s="5">
        <v>11.0</v>
      </c>
      <c r="L58" s="5">
        <v>40.0</v>
      </c>
      <c r="M58" s="5">
        <v>135.0</v>
      </c>
      <c r="N58" s="5" t="s">
        <v>734</v>
      </c>
      <c r="O58" s="5" t="s">
        <v>735</v>
      </c>
      <c r="P58" s="5" t="s">
        <v>736</v>
      </c>
      <c r="Q58" s="5" t="s">
        <v>734</v>
      </c>
      <c r="R58" s="5" t="s">
        <v>737</v>
      </c>
      <c r="S58" s="5">
        <v>28.0</v>
      </c>
      <c r="T58" s="5">
        <v>40.0</v>
      </c>
      <c r="U58" s="5">
        <v>20.0</v>
      </c>
      <c r="V58" s="5" t="s">
        <v>122</v>
      </c>
      <c r="W58" s="24" t="s">
        <v>738</v>
      </c>
      <c r="X58" s="4"/>
      <c r="Y58" s="4"/>
      <c r="Z58" s="4"/>
    </row>
    <row r="59" ht="14.25" customHeight="1">
      <c r="A59" s="25"/>
      <c r="B59" s="23" t="s">
        <v>862</v>
      </c>
      <c r="C59" s="5" t="s">
        <v>863</v>
      </c>
      <c r="D59" s="5" t="s">
        <v>733</v>
      </c>
      <c r="E59" s="5">
        <v>3.0</v>
      </c>
      <c r="F59" s="5">
        <v>15.0</v>
      </c>
      <c r="G59" s="5">
        <v>100.0</v>
      </c>
      <c r="H59" s="5">
        <v>114.0</v>
      </c>
      <c r="I59" s="5">
        <f t="shared" si="1"/>
        <v>0.0114</v>
      </c>
      <c r="J59" s="5">
        <v>400.0</v>
      </c>
      <c r="K59" s="5">
        <v>12.0</v>
      </c>
      <c r="L59" s="5">
        <v>40.0</v>
      </c>
      <c r="M59" s="5">
        <v>150.0</v>
      </c>
      <c r="N59" s="5" t="s">
        <v>734</v>
      </c>
      <c r="O59" s="5" t="s">
        <v>735</v>
      </c>
      <c r="P59" s="5" t="s">
        <v>736</v>
      </c>
      <c r="Q59" s="5" t="s">
        <v>734</v>
      </c>
      <c r="R59" s="5" t="s">
        <v>737</v>
      </c>
      <c r="S59" s="5">
        <v>24.0</v>
      </c>
      <c r="T59" s="5">
        <v>36.0</v>
      </c>
      <c r="U59" s="5">
        <v>20.0</v>
      </c>
      <c r="V59" s="5" t="s">
        <v>122</v>
      </c>
      <c r="W59" s="24" t="s">
        <v>738</v>
      </c>
      <c r="X59" s="4"/>
      <c r="Y59" s="4"/>
      <c r="Z59" s="4"/>
    </row>
    <row r="60" ht="14.25" customHeight="1">
      <c r="A60" s="16" t="s">
        <v>864</v>
      </c>
      <c r="B60" s="23" t="s">
        <v>865</v>
      </c>
      <c r="C60" s="5" t="s">
        <v>866</v>
      </c>
      <c r="D60" s="5" t="s">
        <v>733</v>
      </c>
      <c r="E60" s="5">
        <v>3.0</v>
      </c>
      <c r="F60" s="5">
        <v>15.0</v>
      </c>
      <c r="G60" s="5">
        <v>100.0</v>
      </c>
      <c r="H60" s="5">
        <v>114.0</v>
      </c>
      <c r="I60" s="5">
        <f t="shared" si="1"/>
        <v>0.0114</v>
      </c>
      <c r="J60" s="5">
        <v>120.0</v>
      </c>
      <c r="K60" s="5">
        <v>7.0</v>
      </c>
      <c r="L60" s="5">
        <v>40.0</v>
      </c>
      <c r="M60" s="5">
        <v>98.0</v>
      </c>
      <c r="N60" s="5" t="s">
        <v>734</v>
      </c>
      <c r="O60" s="5" t="s">
        <v>735</v>
      </c>
      <c r="P60" s="5" t="s">
        <v>766</v>
      </c>
      <c r="Q60" s="5" t="s">
        <v>734</v>
      </c>
      <c r="R60" s="5" t="s">
        <v>737</v>
      </c>
      <c r="S60" s="5">
        <v>72.0</v>
      </c>
      <c r="T60" s="5">
        <v>56.0</v>
      </c>
      <c r="U60" s="5">
        <v>20.0</v>
      </c>
      <c r="V60" s="5" t="s">
        <v>153</v>
      </c>
      <c r="W60" s="24" t="s">
        <v>738</v>
      </c>
      <c r="X60" s="4"/>
      <c r="Y60" s="4"/>
      <c r="Z60" s="4"/>
    </row>
    <row r="61" ht="14.25" customHeight="1">
      <c r="A61" s="22"/>
      <c r="B61" s="23" t="s">
        <v>867</v>
      </c>
      <c r="C61" s="5" t="s">
        <v>868</v>
      </c>
      <c r="D61" s="5" t="s">
        <v>733</v>
      </c>
      <c r="E61" s="5">
        <v>3.0</v>
      </c>
      <c r="F61" s="5">
        <v>15.0</v>
      </c>
      <c r="G61" s="5">
        <v>100.0</v>
      </c>
      <c r="H61" s="5">
        <v>114.0</v>
      </c>
      <c r="I61" s="5">
        <f t="shared" si="1"/>
        <v>0.0114</v>
      </c>
      <c r="J61" s="5">
        <v>150.0</v>
      </c>
      <c r="K61" s="5">
        <v>8.0</v>
      </c>
      <c r="L61" s="5">
        <v>40.0</v>
      </c>
      <c r="M61" s="5">
        <v>105.0</v>
      </c>
      <c r="N61" s="5" t="s">
        <v>734</v>
      </c>
      <c r="O61" s="5" t="s">
        <v>735</v>
      </c>
      <c r="P61" s="5" t="s">
        <v>766</v>
      </c>
      <c r="Q61" s="5" t="s">
        <v>734</v>
      </c>
      <c r="R61" s="5" t="s">
        <v>737</v>
      </c>
      <c r="S61" s="5">
        <v>56.0</v>
      </c>
      <c r="T61" s="5">
        <v>52.0</v>
      </c>
      <c r="U61" s="5">
        <v>20.0</v>
      </c>
      <c r="V61" s="5" t="s">
        <v>153</v>
      </c>
      <c r="W61" s="24" t="s">
        <v>738</v>
      </c>
      <c r="X61" s="4"/>
      <c r="Y61" s="4"/>
      <c r="Z61" s="4"/>
    </row>
    <row r="62" ht="14.25" customHeight="1">
      <c r="A62" s="22"/>
      <c r="B62" s="23" t="s">
        <v>869</v>
      </c>
      <c r="C62" s="5" t="s">
        <v>870</v>
      </c>
      <c r="D62" s="5" t="s">
        <v>733</v>
      </c>
      <c r="E62" s="5">
        <v>3.0</v>
      </c>
      <c r="F62" s="5">
        <v>15.0</v>
      </c>
      <c r="G62" s="5">
        <v>100.0</v>
      </c>
      <c r="H62" s="5">
        <v>114.0</v>
      </c>
      <c r="I62" s="5">
        <f t="shared" si="1"/>
        <v>0.0114</v>
      </c>
      <c r="J62" s="5">
        <v>180.0</v>
      </c>
      <c r="K62" s="5">
        <v>9.0</v>
      </c>
      <c r="L62" s="5">
        <v>40.0</v>
      </c>
      <c r="M62" s="5">
        <v>112.0</v>
      </c>
      <c r="N62" s="5" t="s">
        <v>734</v>
      </c>
      <c r="O62" s="5" t="s">
        <v>735</v>
      </c>
      <c r="P62" s="5" t="s">
        <v>766</v>
      </c>
      <c r="Q62" s="5" t="s">
        <v>734</v>
      </c>
      <c r="R62" s="5" t="s">
        <v>737</v>
      </c>
      <c r="S62" s="5">
        <v>48.0</v>
      </c>
      <c r="T62" s="5">
        <v>48.0</v>
      </c>
      <c r="U62" s="5">
        <v>20.0</v>
      </c>
      <c r="V62" s="5" t="s">
        <v>153</v>
      </c>
      <c r="W62" s="24" t="s">
        <v>738</v>
      </c>
      <c r="X62" s="4"/>
      <c r="Y62" s="4"/>
      <c r="Z62" s="4"/>
    </row>
    <row r="63" ht="14.25" customHeight="1">
      <c r="A63" s="22"/>
      <c r="B63" s="23" t="s">
        <v>871</v>
      </c>
      <c r="C63" s="5" t="s">
        <v>872</v>
      </c>
      <c r="D63" s="5" t="s">
        <v>733</v>
      </c>
      <c r="E63" s="5">
        <v>3.0</v>
      </c>
      <c r="F63" s="5">
        <v>15.0</v>
      </c>
      <c r="G63" s="5">
        <v>100.0</v>
      </c>
      <c r="H63" s="5">
        <v>114.0</v>
      </c>
      <c r="I63" s="5">
        <f t="shared" si="1"/>
        <v>0.0114</v>
      </c>
      <c r="J63" s="5">
        <v>200.0</v>
      </c>
      <c r="K63" s="5">
        <v>9.0</v>
      </c>
      <c r="L63" s="5">
        <v>40.0</v>
      </c>
      <c r="M63" s="5">
        <v>118.0</v>
      </c>
      <c r="N63" s="5" t="s">
        <v>734</v>
      </c>
      <c r="O63" s="5" t="s">
        <v>735</v>
      </c>
      <c r="P63" s="5" t="s">
        <v>766</v>
      </c>
      <c r="Q63" s="5" t="s">
        <v>734</v>
      </c>
      <c r="R63" s="5" t="s">
        <v>737</v>
      </c>
      <c r="S63" s="5">
        <v>40.0</v>
      </c>
      <c r="T63" s="5">
        <v>44.0</v>
      </c>
      <c r="U63" s="5">
        <v>20.0</v>
      </c>
      <c r="V63" s="5" t="s">
        <v>153</v>
      </c>
      <c r="W63" s="24" t="s">
        <v>738</v>
      </c>
      <c r="X63" s="4"/>
      <c r="Y63" s="4"/>
      <c r="Z63" s="4"/>
    </row>
    <row r="64" ht="14.25" customHeight="1">
      <c r="A64" s="22"/>
      <c r="B64" s="23" t="s">
        <v>873</v>
      </c>
      <c r="C64" s="5" t="s">
        <v>874</v>
      </c>
      <c r="D64" s="5" t="s">
        <v>733</v>
      </c>
      <c r="E64" s="5">
        <v>3.0</v>
      </c>
      <c r="F64" s="5">
        <v>15.0</v>
      </c>
      <c r="G64" s="5">
        <v>100.0</v>
      </c>
      <c r="H64" s="5">
        <v>114.0</v>
      </c>
      <c r="I64" s="5">
        <f t="shared" si="1"/>
        <v>0.0114</v>
      </c>
      <c r="J64" s="5">
        <v>250.0</v>
      </c>
      <c r="K64" s="5">
        <v>10.0</v>
      </c>
      <c r="L64" s="5">
        <v>40.0</v>
      </c>
      <c r="M64" s="5">
        <v>128.0</v>
      </c>
      <c r="N64" s="5" t="s">
        <v>734</v>
      </c>
      <c r="O64" s="5" t="s">
        <v>735</v>
      </c>
      <c r="P64" s="5" t="s">
        <v>766</v>
      </c>
      <c r="Q64" s="5" t="s">
        <v>734</v>
      </c>
      <c r="R64" s="5" t="s">
        <v>737</v>
      </c>
      <c r="S64" s="5">
        <v>32.0</v>
      </c>
      <c r="T64" s="5">
        <v>40.0</v>
      </c>
      <c r="U64" s="5">
        <v>20.0</v>
      </c>
      <c r="V64" s="5" t="s">
        <v>153</v>
      </c>
      <c r="W64" s="24" t="s">
        <v>738</v>
      </c>
      <c r="X64" s="4"/>
      <c r="Y64" s="4"/>
      <c r="Z64" s="4"/>
    </row>
    <row r="65" ht="14.25" customHeight="1">
      <c r="A65" s="25"/>
      <c r="B65" s="23" t="s">
        <v>875</v>
      </c>
      <c r="C65" s="5" t="s">
        <v>876</v>
      </c>
      <c r="D65" s="5" t="s">
        <v>733</v>
      </c>
      <c r="E65" s="5">
        <v>3.0</v>
      </c>
      <c r="F65" s="5">
        <v>15.0</v>
      </c>
      <c r="G65" s="5">
        <v>100.0</v>
      </c>
      <c r="H65" s="5">
        <v>114.0</v>
      </c>
      <c r="I65" s="5">
        <f t="shared" si="1"/>
        <v>0.0114</v>
      </c>
      <c r="J65" s="5">
        <v>300.0</v>
      </c>
      <c r="K65" s="5">
        <v>11.0</v>
      </c>
      <c r="L65" s="5">
        <v>40.0</v>
      </c>
      <c r="M65" s="5">
        <v>138.0</v>
      </c>
      <c r="N65" s="5" t="s">
        <v>734</v>
      </c>
      <c r="O65" s="5" t="s">
        <v>735</v>
      </c>
      <c r="P65" s="5" t="s">
        <v>766</v>
      </c>
      <c r="Q65" s="5" t="s">
        <v>734</v>
      </c>
      <c r="R65" s="5" t="s">
        <v>737</v>
      </c>
      <c r="S65" s="5">
        <v>28.0</v>
      </c>
      <c r="T65" s="5">
        <v>36.0</v>
      </c>
      <c r="U65" s="5">
        <v>20.0</v>
      </c>
      <c r="V65" s="5" t="s">
        <v>153</v>
      </c>
      <c r="W65" s="24" t="s">
        <v>738</v>
      </c>
      <c r="X65" s="4"/>
      <c r="Y65" s="4"/>
      <c r="Z65" s="4"/>
    </row>
    <row r="66" ht="14.25" customHeight="1">
      <c r="A66" s="16" t="s">
        <v>877</v>
      </c>
      <c r="B66" s="23" t="s">
        <v>878</v>
      </c>
      <c r="C66" s="5" t="s">
        <v>879</v>
      </c>
      <c r="D66" s="5" t="s">
        <v>733</v>
      </c>
      <c r="E66" s="5">
        <v>3.0</v>
      </c>
      <c r="F66" s="5">
        <v>14.0</v>
      </c>
      <c r="G66" s="5">
        <v>100.0</v>
      </c>
      <c r="H66" s="5">
        <v>114.0</v>
      </c>
      <c r="I66" s="5">
        <f t="shared" si="1"/>
        <v>0.0114</v>
      </c>
      <c r="J66" s="5">
        <v>120.0</v>
      </c>
      <c r="K66" s="5">
        <v>7.0</v>
      </c>
      <c r="L66" s="5">
        <v>40.0</v>
      </c>
      <c r="M66" s="5">
        <v>95.0</v>
      </c>
      <c r="N66" s="5" t="s">
        <v>734</v>
      </c>
      <c r="O66" s="5" t="s">
        <v>735</v>
      </c>
      <c r="P66" s="5" t="s">
        <v>766</v>
      </c>
      <c r="Q66" s="5" t="s">
        <v>734</v>
      </c>
      <c r="R66" s="5" t="s">
        <v>737</v>
      </c>
      <c r="S66" s="5">
        <v>72.0</v>
      </c>
      <c r="T66" s="5">
        <v>56.0</v>
      </c>
      <c r="U66" s="5">
        <v>20.0</v>
      </c>
      <c r="V66" s="5" t="s">
        <v>528</v>
      </c>
      <c r="W66" s="24" t="s">
        <v>738</v>
      </c>
      <c r="X66" s="4"/>
      <c r="Y66" s="4"/>
      <c r="Z66" s="4"/>
    </row>
    <row r="67" ht="14.25" customHeight="1">
      <c r="A67" s="22"/>
      <c r="B67" s="23" t="s">
        <v>880</v>
      </c>
      <c r="C67" s="5" t="s">
        <v>881</v>
      </c>
      <c r="D67" s="5" t="s">
        <v>733</v>
      </c>
      <c r="E67" s="5">
        <v>3.0</v>
      </c>
      <c r="F67" s="5">
        <v>14.0</v>
      </c>
      <c r="G67" s="5">
        <v>100.0</v>
      </c>
      <c r="H67" s="5">
        <v>114.0</v>
      </c>
      <c r="I67" s="5">
        <f t="shared" si="1"/>
        <v>0.0114</v>
      </c>
      <c r="J67" s="5">
        <v>150.0</v>
      </c>
      <c r="K67" s="5">
        <v>8.0</v>
      </c>
      <c r="L67" s="5">
        <v>40.0</v>
      </c>
      <c r="M67" s="5">
        <v>102.0</v>
      </c>
      <c r="N67" s="5" t="s">
        <v>734</v>
      </c>
      <c r="O67" s="5" t="s">
        <v>735</v>
      </c>
      <c r="P67" s="5" t="s">
        <v>766</v>
      </c>
      <c r="Q67" s="5" t="s">
        <v>734</v>
      </c>
      <c r="R67" s="5" t="s">
        <v>737</v>
      </c>
      <c r="S67" s="5">
        <v>56.0</v>
      </c>
      <c r="T67" s="5">
        <v>52.0</v>
      </c>
      <c r="U67" s="5">
        <v>20.0</v>
      </c>
      <c r="V67" s="5" t="s">
        <v>528</v>
      </c>
      <c r="W67" s="24" t="s">
        <v>738</v>
      </c>
      <c r="X67" s="4"/>
      <c r="Y67" s="4"/>
      <c r="Z67" s="4"/>
    </row>
    <row r="68" ht="14.25" customHeight="1">
      <c r="A68" s="22"/>
      <c r="B68" s="23" t="s">
        <v>882</v>
      </c>
      <c r="C68" s="5" t="s">
        <v>883</v>
      </c>
      <c r="D68" s="5" t="s">
        <v>733</v>
      </c>
      <c r="E68" s="5">
        <v>3.0</v>
      </c>
      <c r="F68" s="5">
        <v>14.0</v>
      </c>
      <c r="G68" s="5">
        <v>100.0</v>
      </c>
      <c r="H68" s="5">
        <v>114.0</v>
      </c>
      <c r="I68" s="5">
        <f t="shared" si="1"/>
        <v>0.0114</v>
      </c>
      <c r="J68" s="5">
        <v>180.0</v>
      </c>
      <c r="K68" s="5">
        <v>9.0</v>
      </c>
      <c r="L68" s="5">
        <v>40.0</v>
      </c>
      <c r="M68" s="5">
        <v>108.0</v>
      </c>
      <c r="N68" s="5" t="s">
        <v>734</v>
      </c>
      <c r="O68" s="5" t="s">
        <v>735</v>
      </c>
      <c r="P68" s="5" t="s">
        <v>766</v>
      </c>
      <c r="Q68" s="5" t="s">
        <v>734</v>
      </c>
      <c r="R68" s="5" t="s">
        <v>737</v>
      </c>
      <c r="S68" s="5">
        <v>48.0</v>
      </c>
      <c r="T68" s="5">
        <v>48.0</v>
      </c>
      <c r="U68" s="5">
        <v>20.0</v>
      </c>
      <c r="V68" s="5" t="s">
        <v>528</v>
      </c>
      <c r="W68" s="24" t="s">
        <v>738</v>
      </c>
      <c r="X68" s="4"/>
      <c r="Y68" s="4"/>
      <c r="Z68" s="4"/>
    </row>
    <row r="69" ht="14.25" customHeight="1">
      <c r="A69" s="22"/>
      <c r="B69" s="23" t="s">
        <v>884</v>
      </c>
      <c r="C69" s="5" t="s">
        <v>885</v>
      </c>
      <c r="D69" s="5" t="s">
        <v>733</v>
      </c>
      <c r="E69" s="5">
        <v>3.0</v>
      </c>
      <c r="F69" s="5">
        <v>14.0</v>
      </c>
      <c r="G69" s="5">
        <v>100.0</v>
      </c>
      <c r="H69" s="5">
        <v>114.0</v>
      </c>
      <c r="I69" s="5">
        <f t="shared" si="1"/>
        <v>0.0114</v>
      </c>
      <c r="J69" s="5">
        <v>200.0</v>
      </c>
      <c r="K69" s="5">
        <v>9.0</v>
      </c>
      <c r="L69" s="5">
        <v>40.0</v>
      </c>
      <c r="M69" s="5">
        <v>115.0</v>
      </c>
      <c r="N69" s="5" t="s">
        <v>734</v>
      </c>
      <c r="O69" s="5" t="s">
        <v>735</v>
      </c>
      <c r="P69" s="5" t="s">
        <v>766</v>
      </c>
      <c r="Q69" s="5" t="s">
        <v>734</v>
      </c>
      <c r="R69" s="5" t="s">
        <v>737</v>
      </c>
      <c r="S69" s="5">
        <v>40.0</v>
      </c>
      <c r="T69" s="5">
        <v>44.0</v>
      </c>
      <c r="U69" s="5">
        <v>20.0</v>
      </c>
      <c r="V69" s="5" t="s">
        <v>528</v>
      </c>
      <c r="W69" s="24" t="s">
        <v>738</v>
      </c>
      <c r="X69" s="4"/>
      <c r="Y69" s="4"/>
      <c r="Z69" s="4"/>
    </row>
    <row r="70" ht="14.25" customHeight="1">
      <c r="A70" s="25"/>
      <c r="B70" s="23" t="s">
        <v>886</v>
      </c>
      <c r="C70" s="5" t="s">
        <v>887</v>
      </c>
      <c r="D70" s="5" t="s">
        <v>733</v>
      </c>
      <c r="E70" s="5">
        <v>3.0</v>
      </c>
      <c r="F70" s="5">
        <v>14.0</v>
      </c>
      <c r="G70" s="5">
        <v>100.0</v>
      </c>
      <c r="H70" s="5">
        <v>114.0</v>
      </c>
      <c r="I70" s="5">
        <f t="shared" si="1"/>
        <v>0.0114</v>
      </c>
      <c r="J70" s="5">
        <v>250.0</v>
      </c>
      <c r="K70" s="5">
        <v>10.0</v>
      </c>
      <c r="L70" s="5">
        <v>40.0</v>
      </c>
      <c r="M70" s="5">
        <v>125.0</v>
      </c>
      <c r="N70" s="5" t="s">
        <v>734</v>
      </c>
      <c r="O70" s="5" t="s">
        <v>735</v>
      </c>
      <c r="P70" s="5" t="s">
        <v>766</v>
      </c>
      <c r="Q70" s="5" t="s">
        <v>734</v>
      </c>
      <c r="R70" s="5" t="s">
        <v>737</v>
      </c>
      <c r="S70" s="5">
        <v>32.0</v>
      </c>
      <c r="T70" s="5">
        <v>40.0</v>
      </c>
      <c r="U70" s="5">
        <v>20.0</v>
      </c>
      <c r="V70" s="5" t="s">
        <v>528</v>
      </c>
      <c r="W70" s="24" t="s">
        <v>738</v>
      </c>
      <c r="X70" s="4"/>
      <c r="Y70" s="4"/>
      <c r="Z70" s="4"/>
    </row>
    <row r="71" ht="14.25" customHeight="1">
      <c r="A71" s="16" t="s">
        <v>888</v>
      </c>
      <c r="B71" s="23" t="s">
        <v>889</v>
      </c>
      <c r="C71" s="5" t="s">
        <v>890</v>
      </c>
      <c r="D71" s="5" t="s">
        <v>733</v>
      </c>
      <c r="E71" s="5">
        <v>3.0</v>
      </c>
      <c r="F71" s="5">
        <v>15.0</v>
      </c>
      <c r="G71" s="5">
        <v>100.0</v>
      </c>
      <c r="H71" s="5">
        <v>114.0</v>
      </c>
      <c r="I71" s="5">
        <f t="shared" si="1"/>
        <v>0.0114</v>
      </c>
      <c r="J71" s="5">
        <v>150.0</v>
      </c>
      <c r="K71" s="5">
        <v>8.0</v>
      </c>
      <c r="L71" s="5">
        <v>40.0</v>
      </c>
      <c r="M71" s="5">
        <v>105.0</v>
      </c>
      <c r="N71" s="5" t="s">
        <v>734</v>
      </c>
      <c r="O71" s="5" t="s">
        <v>735</v>
      </c>
      <c r="P71" s="5" t="s">
        <v>766</v>
      </c>
      <c r="Q71" s="5" t="s">
        <v>734</v>
      </c>
      <c r="R71" s="5" t="s">
        <v>737</v>
      </c>
      <c r="S71" s="5">
        <v>56.0</v>
      </c>
      <c r="T71" s="5">
        <v>52.0</v>
      </c>
      <c r="U71" s="5">
        <v>20.0</v>
      </c>
      <c r="V71" s="5" t="s">
        <v>705</v>
      </c>
      <c r="W71" s="24" t="s">
        <v>738</v>
      </c>
      <c r="X71" s="4"/>
      <c r="Y71" s="4"/>
      <c r="Z71" s="4"/>
    </row>
    <row r="72" ht="14.25" customHeight="1">
      <c r="A72" s="22"/>
      <c r="B72" s="23" t="s">
        <v>891</v>
      </c>
      <c r="C72" s="5" t="s">
        <v>892</v>
      </c>
      <c r="D72" s="5" t="s">
        <v>733</v>
      </c>
      <c r="E72" s="5">
        <v>3.0</v>
      </c>
      <c r="F72" s="5">
        <v>15.0</v>
      </c>
      <c r="G72" s="5">
        <v>100.0</v>
      </c>
      <c r="H72" s="5">
        <v>114.0</v>
      </c>
      <c r="I72" s="5">
        <f t="shared" si="1"/>
        <v>0.0114</v>
      </c>
      <c r="J72" s="5">
        <v>200.0</v>
      </c>
      <c r="K72" s="5">
        <v>9.0</v>
      </c>
      <c r="L72" s="5">
        <v>40.0</v>
      </c>
      <c r="M72" s="5">
        <v>118.0</v>
      </c>
      <c r="N72" s="5" t="s">
        <v>734</v>
      </c>
      <c r="O72" s="5" t="s">
        <v>735</v>
      </c>
      <c r="P72" s="5" t="s">
        <v>766</v>
      </c>
      <c r="Q72" s="5" t="s">
        <v>734</v>
      </c>
      <c r="R72" s="5" t="s">
        <v>737</v>
      </c>
      <c r="S72" s="5">
        <v>40.0</v>
      </c>
      <c r="T72" s="5">
        <v>44.0</v>
      </c>
      <c r="U72" s="5">
        <v>20.0</v>
      </c>
      <c r="V72" s="5" t="s">
        <v>705</v>
      </c>
      <c r="W72" s="24" t="s">
        <v>738</v>
      </c>
      <c r="X72" s="4"/>
      <c r="Y72" s="4"/>
      <c r="Z72" s="4"/>
    </row>
    <row r="73" ht="14.25" customHeight="1">
      <c r="A73" s="22"/>
      <c r="B73" s="23" t="s">
        <v>893</v>
      </c>
      <c r="C73" s="5" t="s">
        <v>894</v>
      </c>
      <c r="D73" s="5" t="s">
        <v>733</v>
      </c>
      <c r="E73" s="5">
        <v>3.0</v>
      </c>
      <c r="F73" s="5">
        <v>15.0</v>
      </c>
      <c r="G73" s="5">
        <v>100.0</v>
      </c>
      <c r="H73" s="5">
        <v>114.0</v>
      </c>
      <c r="I73" s="5">
        <f t="shared" si="1"/>
        <v>0.0114</v>
      </c>
      <c r="J73" s="5">
        <v>150.0</v>
      </c>
      <c r="K73" s="5">
        <v>8.0</v>
      </c>
      <c r="L73" s="5">
        <v>40.0</v>
      </c>
      <c r="M73" s="5">
        <v>105.0</v>
      </c>
      <c r="N73" s="5" t="s">
        <v>734</v>
      </c>
      <c r="O73" s="5" t="s">
        <v>735</v>
      </c>
      <c r="P73" s="5" t="s">
        <v>766</v>
      </c>
      <c r="Q73" s="5" t="s">
        <v>734</v>
      </c>
      <c r="R73" s="5" t="s">
        <v>737</v>
      </c>
      <c r="S73" s="5">
        <v>56.0</v>
      </c>
      <c r="T73" s="5">
        <v>52.0</v>
      </c>
      <c r="U73" s="5">
        <v>20.0</v>
      </c>
      <c r="V73" s="5" t="s">
        <v>710</v>
      </c>
      <c r="W73" s="24" t="s">
        <v>738</v>
      </c>
      <c r="X73" s="4"/>
      <c r="Y73" s="4"/>
      <c r="Z73" s="4"/>
    </row>
    <row r="74" ht="14.25" customHeight="1">
      <c r="A74" s="25"/>
      <c r="B74" s="23" t="s">
        <v>895</v>
      </c>
      <c r="C74" s="5" t="s">
        <v>896</v>
      </c>
      <c r="D74" s="5" t="s">
        <v>733</v>
      </c>
      <c r="E74" s="5">
        <v>3.0</v>
      </c>
      <c r="F74" s="5">
        <v>15.0</v>
      </c>
      <c r="G74" s="5">
        <v>100.0</v>
      </c>
      <c r="H74" s="5">
        <v>114.0</v>
      </c>
      <c r="I74" s="5">
        <f t="shared" si="1"/>
        <v>0.0114</v>
      </c>
      <c r="J74" s="5">
        <v>200.0</v>
      </c>
      <c r="K74" s="5">
        <v>9.0</v>
      </c>
      <c r="L74" s="5">
        <v>40.0</v>
      </c>
      <c r="M74" s="5">
        <v>118.0</v>
      </c>
      <c r="N74" s="5" t="s">
        <v>734</v>
      </c>
      <c r="O74" s="5" t="s">
        <v>735</v>
      </c>
      <c r="P74" s="5" t="s">
        <v>766</v>
      </c>
      <c r="Q74" s="5" t="s">
        <v>734</v>
      </c>
      <c r="R74" s="5" t="s">
        <v>737</v>
      </c>
      <c r="S74" s="5">
        <v>40.0</v>
      </c>
      <c r="T74" s="5">
        <v>44.0</v>
      </c>
      <c r="U74" s="5">
        <v>20.0</v>
      </c>
      <c r="V74" s="5" t="s">
        <v>710</v>
      </c>
      <c r="W74" s="24" t="s">
        <v>738</v>
      </c>
      <c r="X74" s="4"/>
      <c r="Y74" s="4"/>
      <c r="Z74" s="4"/>
    </row>
    <row r="75" ht="14.25" customHeight="1">
      <c r="A75" s="16" t="s">
        <v>897</v>
      </c>
      <c r="B75" s="23" t="s">
        <v>898</v>
      </c>
      <c r="C75" s="5" t="s">
        <v>899</v>
      </c>
      <c r="D75" s="5" t="s">
        <v>733</v>
      </c>
      <c r="E75" s="5">
        <v>3.0</v>
      </c>
      <c r="F75" s="5">
        <v>15.0</v>
      </c>
      <c r="G75" s="5">
        <v>100.0</v>
      </c>
      <c r="H75" s="5">
        <v>114.0</v>
      </c>
      <c r="I75" s="5">
        <f t="shared" si="1"/>
        <v>0.0114</v>
      </c>
      <c r="J75" s="5">
        <v>150.0</v>
      </c>
      <c r="K75" s="5">
        <v>8.0</v>
      </c>
      <c r="L75" s="5">
        <v>40.0</v>
      </c>
      <c r="M75" s="5">
        <v>102.0</v>
      </c>
      <c r="N75" s="5" t="s">
        <v>734</v>
      </c>
      <c r="O75" s="5" t="s">
        <v>823</v>
      </c>
      <c r="P75" s="5" t="s">
        <v>736</v>
      </c>
      <c r="Q75" s="5" t="s">
        <v>734</v>
      </c>
      <c r="R75" s="5" t="s">
        <v>824</v>
      </c>
      <c r="S75" s="5">
        <v>56.0</v>
      </c>
      <c r="T75" s="5">
        <v>56.0</v>
      </c>
      <c r="U75" s="5">
        <v>20.0</v>
      </c>
      <c r="V75" s="5" t="s">
        <v>221</v>
      </c>
      <c r="W75" s="24" t="s">
        <v>825</v>
      </c>
      <c r="X75" s="4"/>
      <c r="Y75" s="4"/>
      <c r="Z75" s="4"/>
    </row>
    <row r="76" ht="14.25" customHeight="1">
      <c r="A76" s="22"/>
      <c r="B76" s="23" t="s">
        <v>900</v>
      </c>
      <c r="C76" s="5" t="s">
        <v>901</v>
      </c>
      <c r="D76" s="5" t="s">
        <v>733</v>
      </c>
      <c r="E76" s="5">
        <v>3.0</v>
      </c>
      <c r="F76" s="5">
        <v>15.0</v>
      </c>
      <c r="G76" s="5">
        <v>100.0</v>
      </c>
      <c r="H76" s="5">
        <v>114.0</v>
      </c>
      <c r="I76" s="5">
        <f t="shared" si="1"/>
        <v>0.0114</v>
      </c>
      <c r="J76" s="5">
        <v>200.0</v>
      </c>
      <c r="K76" s="5">
        <v>9.0</v>
      </c>
      <c r="L76" s="5">
        <v>40.0</v>
      </c>
      <c r="M76" s="5">
        <v>115.0</v>
      </c>
      <c r="N76" s="5" t="s">
        <v>734</v>
      </c>
      <c r="O76" s="5" t="s">
        <v>823</v>
      </c>
      <c r="P76" s="5" t="s">
        <v>736</v>
      </c>
      <c r="Q76" s="5" t="s">
        <v>734</v>
      </c>
      <c r="R76" s="5" t="s">
        <v>824</v>
      </c>
      <c r="S76" s="5">
        <v>40.0</v>
      </c>
      <c r="T76" s="5">
        <v>48.0</v>
      </c>
      <c r="U76" s="5">
        <v>20.0</v>
      </c>
      <c r="V76" s="5" t="s">
        <v>221</v>
      </c>
      <c r="W76" s="24" t="s">
        <v>825</v>
      </c>
      <c r="X76" s="4"/>
      <c r="Y76" s="4"/>
      <c r="Z76" s="4"/>
    </row>
    <row r="77" ht="14.25" customHeight="1">
      <c r="A77" s="22"/>
      <c r="B77" s="23" t="s">
        <v>902</v>
      </c>
      <c r="C77" s="5" t="s">
        <v>903</v>
      </c>
      <c r="D77" s="5" t="s">
        <v>733</v>
      </c>
      <c r="E77" s="5">
        <v>3.0</v>
      </c>
      <c r="F77" s="5">
        <v>15.0</v>
      </c>
      <c r="G77" s="5">
        <v>100.0</v>
      </c>
      <c r="H77" s="5">
        <v>114.0</v>
      </c>
      <c r="I77" s="5">
        <f t="shared" si="1"/>
        <v>0.0114</v>
      </c>
      <c r="J77" s="5">
        <v>250.0</v>
      </c>
      <c r="K77" s="5">
        <v>10.0</v>
      </c>
      <c r="L77" s="5">
        <v>40.0</v>
      </c>
      <c r="M77" s="5">
        <v>125.0</v>
      </c>
      <c r="N77" s="5" t="s">
        <v>734</v>
      </c>
      <c r="O77" s="5" t="s">
        <v>823</v>
      </c>
      <c r="P77" s="5" t="s">
        <v>736</v>
      </c>
      <c r="Q77" s="5" t="s">
        <v>734</v>
      </c>
      <c r="R77" s="5" t="s">
        <v>824</v>
      </c>
      <c r="S77" s="5">
        <v>32.0</v>
      </c>
      <c r="T77" s="5">
        <v>44.0</v>
      </c>
      <c r="U77" s="5">
        <v>20.0</v>
      </c>
      <c r="V77" s="5" t="s">
        <v>221</v>
      </c>
      <c r="W77" s="24" t="s">
        <v>825</v>
      </c>
      <c r="X77" s="4"/>
      <c r="Y77" s="4"/>
      <c r="Z77" s="4"/>
    </row>
    <row r="78" ht="14.25" customHeight="1">
      <c r="A78" s="25"/>
      <c r="B78" s="23" t="s">
        <v>904</v>
      </c>
      <c r="C78" s="5" t="s">
        <v>905</v>
      </c>
      <c r="D78" s="5" t="s">
        <v>733</v>
      </c>
      <c r="E78" s="5">
        <v>3.0</v>
      </c>
      <c r="F78" s="5">
        <v>15.0</v>
      </c>
      <c r="G78" s="5">
        <v>100.0</v>
      </c>
      <c r="H78" s="5">
        <v>114.0</v>
      </c>
      <c r="I78" s="5">
        <f t="shared" si="1"/>
        <v>0.0114</v>
      </c>
      <c r="J78" s="5">
        <v>200.0</v>
      </c>
      <c r="K78" s="5">
        <v>9.0</v>
      </c>
      <c r="L78" s="5">
        <v>40.0</v>
      </c>
      <c r="M78" s="5">
        <v>118.0</v>
      </c>
      <c r="N78" s="5" t="s">
        <v>734</v>
      </c>
      <c r="O78" s="5" t="s">
        <v>823</v>
      </c>
      <c r="P78" s="5" t="s">
        <v>766</v>
      </c>
      <c r="Q78" s="5" t="s">
        <v>734</v>
      </c>
      <c r="R78" s="5" t="s">
        <v>824</v>
      </c>
      <c r="S78" s="5">
        <v>40.0</v>
      </c>
      <c r="T78" s="5">
        <v>44.0</v>
      </c>
      <c r="U78" s="5">
        <v>20.0</v>
      </c>
      <c r="V78" s="5" t="s">
        <v>614</v>
      </c>
      <c r="W78" s="24" t="s">
        <v>825</v>
      </c>
      <c r="X78" s="4"/>
      <c r="Y78" s="4"/>
      <c r="Z78" s="4"/>
    </row>
    <row r="79" ht="14.25" customHeight="1">
      <c r="A79" s="16" t="s">
        <v>906</v>
      </c>
      <c r="B79" s="23" t="s">
        <v>907</v>
      </c>
      <c r="C79" s="5" t="s">
        <v>908</v>
      </c>
      <c r="D79" s="5" t="s">
        <v>733</v>
      </c>
      <c r="E79" s="5">
        <v>3.0</v>
      </c>
      <c r="F79" s="5">
        <v>15.0</v>
      </c>
      <c r="G79" s="5">
        <v>100.0</v>
      </c>
      <c r="H79" s="5">
        <v>114.0</v>
      </c>
      <c r="I79" s="5">
        <f t="shared" si="1"/>
        <v>0.0114</v>
      </c>
      <c r="J79" s="5">
        <v>150.0</v>
      </c>
      <c r="K79" s="5">
        <v>8.0</v>
      </c>
      <c r="L79" s="5">
        <v>40.0</v>
      </c>
      <c r="M79" s="5">
        <v>102.0</v>
      </c>
      <c r="N79" s="5" t="s">
        <v>734</v>
      </c>
      <c r="O79" s="5" t="s">
        <v>823</v>
      </c>
      <c r="P79" s="5" t="s">
        <v>736</v>
      </c>
      <c r="Q79" s="5" t="s">
        <v>734</v>
      </c>
      <c r="R79" s="5" t="s">
        <v>824</v>
      </c>
      <c r="S79" s="5">
        <v>56.0</v>
      </c>
      <c r="T79" s="5">
        <v>56.0</v>
      </c>
      <c r="U79" s="5">
        <v>20.0</v>
      </c>
      <c r="V79" s="5" t="s">
        <v>680</v>
      </c>
      <c r="W79" s="24" t="s">
        <v>825</v>
      </c>
      <c r="X79" s="4"/>
      <c r="Y79" s="4"/>
      <c r="Z79" s="4"/>
    </row>
    <row r="80" ht="14.25" customHeight="1">
      <c r="A80" s="22"/>
      <c r="B80" s="23" t="s">
        <v>909</v>
      </c>
      <c r="C80" s="5" t="s">
        <v>910</v>
      </c>
      <c r="D80" s="5" t="s">
        <v>733</v>
      </c>
      <c r="E80" s="5">
        <v>3.0</v>
      </c>
      <c r="F80" s="5">
        <v>15.0</v>
      </c>
      <c r="G80" s="5">
        <v>100.0</v>
      </c>
      <c r="H80" s="5">
        <v>114.0</v>
      </c>
      <c r="I80" s="5">
        <f t="shared" si="1"/>
        <v>0.0114</v>
      </c>
      <c r="J80" s="5">
        <v>200.0</v>
      </c>
      <c r="K80" s="5">
        <v>9.0</v>
      </c>
      <c r="L80" s="5">
        <v>40.0</v>
      </c>
      <c r="M80" s="5">
        <v>115.0</v>
      </c>
      <c r="N80" s="5" t="s">
        <v>734</v>
      </c>
      <c r="O80" s="5" t="s">
        <v>823</v>
      </c>
      <c r="P80" s="5" t="s">
        <v>736</v>
      </c>
      <c r="Q80" s="5" t="s">
        <v>734</v>
      </c>
      <c r="R80" s="5" t="s">
        <v>824</v>
      </c>
      <c r="S80" s="5">
        <v>40.0</v>
      </c>
      <c r="T80" s="5">
        <v>48.0</v>
      </c>
      <c r="U80" s="5">
        <v>20.0</v>
      </c>
      <c r="V80" s="5" t="s">
        <v>680</v>
      </c>
      <c r="W80" s="24" t="s">
        <v>825</v>
      </c>
      <c r="X80" s="4"/>
      <c r="Y80" s="4"/>
      <c r="Z80" s="4"/>
    </row>
    <row r="81" ht="14.25" customHeight="1">
      <c r="A81" s="22"/>
      <c r="B81" s="23" t="s">
        <v>911</v>
      </c>
      <c r="C81" s="5" t="s">
        <v>912</v>
      </c>
      <c r="D81" s="5" t="s">
        <v>733</v>
      </c>
      <c r="E81" s="5">
        <v>3.0</v>
      </c>
      <c r="F81" s="5">
        <v>15.0</v>
      </c>
      <c r="G81" s="5">
        <v>100.0</v>
      </c>
      <c r="H81" s="5">
        <v>114.0</v>
      </c>
      <c r="I81" s="5">
        <f t="shared" si="1"/>
        <v>0.0114</v>
      </c>
      <c r="J81" s="5">
        <v>250.0</v>
      </c>
      <c r="K81" s="5">
        <v>10.0</v>
      </c>
      <c r="L81" s="5">
        <v>40.0</v>
      </c>
      <c r="M81" s="5">
        <v>125.0</v>
      </c>
      <c r="N81" s="5" t="s">
        <v>734</v>
      </c>
      <c r="O81" s="5" t="s">
        <v>823</v>
      </c>
      <c r="P81" s="5" t="s">
        <v>736</v>
      </c>
      <c r="Q81" s="5" t="s">
        <v>734</v>
      </c>
      <c r="R81" s="5" t="s">
        <v>824</v>
      </c>
      <c r="S81" s="5">
        <v>32.0</v>
      </c>
      <c r="T81" s="5">
        <v>44.0</v>
      </c>
      <c r="U81" s="5">
        <v>20.0</v>
      </c>
      <c r="V81" s="5" t="s">
        <v>680</v>
      </c>
      <c r="W81" s="24" t="s">
        <v>825</v>
      </c>
      <c r="X81" s="4"/>
      <c r="Y81" s="4"/>
      <c r="Z81" s="4"/>
    </row>
    <row r="82" ht="14.25" customHeight="1">
      <c r="A82" s="25"/>
      <c r="B82" s="23" t="s">
        <v>913</v>
      </c>
      <c r="C82" s="5" t="s">
        <v>914</v>
      </c>
      <c r="D82" s="5" t="s">
        <v>733</v>
      </c>
      <c r="E82" s="5">
        <v>3.0</v>
      </c>
      <c r="F82" s="5">
        <v>15.0</v>
      </c>
      <c r="G82" s="5">
        <v>100.0</v>
      </c>
      <c r="H82" s="5">
        <v>114.0</v>
      </c>
      <c r="I82" s="5">
        <f t="shared" si="1"/>
        <v>0.0114</v>
      </c>
      <c r="J82" s="5">
        <v>200.0</v>
      </c>
      <c r="K82" s="5">
        <v>9.0</v>
      </c>
      <c r="L82" s="5">
        <v>40.0</v>
      </c>
      <c r="M82" s="5">
        <v>118.0</v>
      </c>
      <c r="N82" s="5" t="s">
        <v>734</v>
      </c>
      <c r="O82" s="5" t="s">
        <v>823</v>
      </c>
      <c r="P82" s="5" t="s">
        <v>766</v>
      </c>
      <c r="Q82" s="5" t="s">
        <v>734</v>
      </c>
      <c r="R82" s="5" t="s">
        <v>824</v>
      </c>
      <c r="S82" s="5">
        <v>40.0</v>
      </c>
      <c r="T82" s="5">
        <v>44.0</v>
      </c>
      <c r="U82" s="5">
        <v>20.0</v>
      </c>
      <c r="V82" s="5" t="s">
        <v>684</v>
      </c>
      <c r="W82" s="24" t="s">
        <v>825</v>
      </c>
      <c r="X82" s="4"/>
      <c r="Y82" s="4"/>
      <c r="Z82" s="4"/>
    </row>
    <row r="83" ht="14.25" customHeight="1">
      <c r="A83" s="16" t="s">
        <v>915</v>
      </c>
      <c r="B83" s="23" t="s">
        <v>916</v>
      </c>
      <c r="C83" s="5" t="s">
        <v>917</v>
      </c>
      <c r="D83" s="5" t="s">
        <v>733</v>
      </c>
      <c r="E83" s="5">
        <v>1.0</v>
      </c>
      <c r="F83" s="5">
        <v>18.0</v>
      </c>
      <c r="G83" s="5">
        <v>150000.0</v>
      </c>
      <c r="H83" s="5">
        <v>95.0</v>
      </c>
      <c r="I83" s="5">
        <f t="shared" si="1"/>
        <v>14.25</v>
      </c>
      <c r="J83" s="5">
        <v>1.0</v>
      </c>
      <c r="K83" s="5">
        <v>35.0</v>
      </c>
      <c r="L83" s="5">
        <v>76.0</v>
      </c>
      <c r="M83" s="5">
        <v>180.0</v>
      </c>
      <c r="N83" s="5" t="s">
        <v>734</v>
      </c>
      <c r="O83" s="5" t="s">
        <v>735</v>
      </c>
      <c r="P83" s="5" t="s">
        <v>738</v>
      </c>
      <c r="Q83" s="5" t="s">
        <v>734</v>
      </c>
      <c r="R83" s="5" t="s">
        <v>738</v>
      </c>
      <c r="S83" s="5">
        <v>12.0</v>
      </c>
      <c r="T83" s="5">
        <v>48.0</v>
      </c>
      <c r="U83" s="5">
        <v>20.0</v>
      </c>
      <c r="V83" s="5" t="s">
        <v>128</v>
      </c>
      <c r="W83" s="24" t="s">
        <v>738</v>
      </c>
      <c r="X83" s="4"/>
      <c r="Y83" s="4"/>
      <c r="Z83" s="4"/>
    </row>
    <row r="84" ht="14.25" customHeight="1">
      <c r="A84" s="22"/>
      <c r="B84" s="23" t="s">
        <v>918</v>
      </c>
      <c r="C84" s="5" t="s">
        <v>919</v>
      </c>
      <c r="D84" s="5" t="s">
        <v>733</v>
      </c>
      <c r="E84" s="5">
        <v>1.0</v>
      </c>
      <c r="F84" s="5">
        <v>18.0</v>
      </c>
      <c r="G84" s="5">
        <v>200000.0</v>
      </c>
      <c r="H84" s="5">
        <v>95.0</v>
      </c>
      <c r="I84" s="5">
        <f t="shared" si="1"/>
        <v>19</v>
      </c>
      <c r="J84" s="5">
        <v>1.0</v>
      </c>
      <c r="K84" s="5">
        <v>40.0</v>
      </c>
      <c r="L84" s="5">
        <v>76.0</v>
      </c>
      <c r="M84" s="5">
        <v>200.0</v>
      </c>
      <c r="N84" s="5" t="s">
        <v>734</v>
      </c>
      <c r="O84" s="5" t="s">
        <v>735</v>
      </c>
      <c r="P84" s="5" t="s">
        <v>738</v>
      </c>
      <c r="Q84" s="5" t="s">
        <v>734</v>
      </c>
      <c r="R84" s="5" t="s">
        <v>738</v>
      </c>
      <c r="S84" s="5">
        <v>12.0</v>
      </c>
      <c r="T84" s="5">
        <v>44.0</v>
      </c>
      <c r="U84" s="5">
        <v>20.0</v>
      </c>
      <c r="V84" s="5" t="s">
        <v>128</v>
      </c>
      <c r="W84" s="24" t="s">
        <v>738</v>
      </c>
      <c r="X84" s="4"/>
      <c r="Y84" s="4"/>
      <c r="Z84" s="4"/>
    </row>
    <row r="85" ht="14.25" customHeight="1">
      <c r="A85" s="22"/>
      <c r="B85" s="23" t="s">
        <v>920</v>
      </c>
      <c r="C85" s="5" t="s">
        <v>921</v>
      </c>
      <c r="D85" s="5" t="s">
        <v>733</v>
      </c>
      <c r="E85" s="5">
        <v>1.0</v>
      </c>
      <c r="F85" s="5">
        <v>18.0</v>
      </c>
      <c r="G85" s="5">
        <v>250000.0</v>
      </c>
      <c r="H85" s="5">
        <v>95.0</v>
      </c>
      <c r="I85" s="5">
        <f t="shared" si="1"/>
        <v>23.75</v>
      </c>
      <c r="J85" s="5">
        <v>1.0</v>
      </c>
      <c r="K85" s="5">
        <v>45.0</v>
      </c>
      <c r="L85" s="5">
        <v>76.0</v>
      </c>
      <c r="M85" s="5">
        <v>220.0</v>
      </c>
      <c r="N85" s="5" t="s">
        <v>734</v>
      </c>
      <c r="O85" s="5" t="s">
        <v>735</v>
      </c>
      <c r="P85" s="5" t="s">
        <v>738</v>
      </c>
      <c r="Q85" s="5" t="s">
        <v>734</v>
      </c>
      <c r="R85" s="5" t="s">
        <v>738</v>
      </c>
      <c r="S85" s="5">
        <v>12.0</v>
      </c>
      <c r="T85" s="5">
        <v>40.0</v>
      </c>
      <c r="U85" s="5">
        <v>20.0</v>
      </c>
      <c r="V85" s="5" t="s">
        <v>128</v>
      </c>
      <c r="W85" s="24" t="s">
        <v>738</v>
      </c>
      <c r="X85" s="4"/>
      <c r="Y85" s="4"/>
      <c r="Z85" s="4"/>
    </row>
    <row r="86" ht="14.25" customHeight="1">
      <c r="A86" s="22"/>
      <c r="B86" s="23" t="s">
        <v>922</v>
      </c>
      <c r="C86" s="5" t="s">
        <v>923</v>
      </c>
      <c r="D86" s="5" t="s">
        <v>733</v>
      </c>
      <c r="E86" s="5">
        <v>1.0</v>
      </c>
      <c r="F86" s="5">
        <v>18.0</v>
      </c>
      <c r="G86" s="5">
        <v>300000.0</v>
      </c>
      <c r="H86" s="5">
        <v>95.0</v>
      </c>
      <c r="I86" s="5">
        <f t="shared" si="1"/>
        <v>28.5</v>
      </c>
      <c r="J86" s="5">
        <v>1.0</v>
      </c>
      <c r="K86" s="5">
        <v>50.0</v>
      </c>
      <c r="L86" s="5">
        <v>76.0</v>
      </c>
      <c r="M86" s="5">
        <v>240.0</v>
      </c>
      <c r="N86" s="5" t="s">
        <v>734</v>
      </c>
      <c r="O86" s="5" t="s">
        <v>735</v>
      </c>
      <c r="P86" s="5" t="s">
        <v>738</v>
      </c>
      <c r="Q86" s="5" t="s">
        <v>734</v>
      </c>
      <c r="R86" s="5" t="s">
        <v>738</v>
      </c>
      <c r="S86" s="5">
        <v>12.0</v>
      </c>
      <c r="T86" s="5">
        <v>36.0</v>
      </c>
      <c r="U86" s="5">
        <v>20.0</v>
      </c>
      <c r="V86" s="5" t="s">
        <v>128</v>
      </c>
      <c r="W86" s="24" t="s">
        <v>738</v>
      </c>
      <c r="X86" s="4"/>
      <c r="Y86" s="4"/>
      <c r="Z86" s="4"/>
    </row>
    <row r="87" ht="14.25" customHeight="1">
      <c r="A87" s="22"/>
      <c r="B87" s="23" t="s">
        <v>924</v>
      </c>
      <c r="C87" s="5" t="s">
        <v>925</v>
      </c>
      <c r="D87" s="5" t="s">
        <v>733</v>
      </c>
      <c r="E87" s="5">
        <v>1.0</v>
      </c>
      <c r="F87" s="5">
        <v>18.0</v>
      </c>
      <c r="G87" s="5">
        <v>400000.0</v>
      </c>
      <c r="H87" s="5">
        <v>95.0</v>
      </c>
      <c r="I87" s="5">
        <f t="shared" si="1"/>
        <v>38</v>
      </c>
      <c r="J87" s="5">
        <v>1.0</v>
      </c>
      <c r="K87" s="5">
        <v>60.0</v>
      </c>
      <c r="L87" s="5">
        <v>76.0</v>
      </c>
      <c r="M87" s="5">
        <v>280.0</v>
      </c>
      <c r="N87" s="5" t="s">
        <v>734</v>
      </c>
      <c r="O87" s="5" t="s">
        <v>735</v>
      </c>
      <c r="P87" s="5" t="s">
        <v>738</v>
      </c>
      <c r="Q87" s="5" t="s">
        <v>734</v>
      </c>
      <c r="R87" s="5" t="s">
        <v>738</v>
      </c>
      <c r="S87" s="5">
        <v>6.0</v>
      </c>
      <c r="T87" s="5">
        <v>32.0</v>
      </c>
      <c r="U87" s="5">
        <v>20.0</v>
      </c>
      <c r="V87" s="5" t="s">
        <v>128</v>
      </c>
      <c r="W87" s="24" t="s">
        <v>738</v>
      </c>
      <c r="X87" s="4"/>
      <c r="Y87" s="4"/>
      <c r="Z87" s="4"/>
    </row>
    <row r="88" ht="14.25" customHeight="1">
      <c r="A88" s="25"/>
      <c r="B88" s="23" t="s">
        <v>926</v>
      </c>
      <c r="C88" s="5" t="s">
        <v>927</v>
      </c>
      <c r="D88" s="5" t="s">
        <v>733</v>
      </c>
      <c r="E88" s="5">
        <v>1.0</v>
      </c>
      <c r="F88" s="5">
        <v>18.0</v>
      </c>
      <c r="G88" s="5">
        <v>500000.0</v>
      </c>
      <c r="H88" s="5">
        <v>95.0</v>
      </c>
      <c r="I88" s="5">
        <f t="shared" si="1"/>
        <v>47.5</v>
      </c>
      <c r="J88" s="5">
        <v>1.0</v>
      </c>
      <c r="K88" s="5">
        <v>70.0</v>
      </c>
      <c r="L88" s="5">
        <v>76.0</v>
      </c>
      <c r="M88" s="5">
        <v>310.0</v>
      </c>
      <c r="N88" s="5" t="s">
        <v>734</v>
      </c>
      <c r="O88" s="5" t="s">
        <v>735</v>
      </c>
      <c r="P88" s="5" t="s">
        <v>738</v>
      </c>
      <c r="Q88" s="5" t="s">
        <v>734</v>
      </c>
      <c r="R88" s="5" t="s">
        <v>738</v>
      </c>
      <c r="S88" s="5">
        <v>6.0</v>
      </c>
      <c r="T88" s="5">
        <v>28.0</v>
      </c>
      <c r="U88" s="5">
        <v>20.0</v>
      </c>
      <c r="V88" s="5" t="s">
        <v>128</v>
      </c>
      <c r="W88" s="24" t="s">
        <v>738</v>
      </c>
      <c r="X88" s="4"/>
      <c r="Y88" s="4"/>
      <c r="Z88" s="4"/>
    </row>
    <row r="89" ht="14.25" customHeight="1">
      <c r="A89" s="16" t="s">
        <v>928</v>
      </c>
      <c r="B89" s="23" t="s">
        <v>929</v>
      </c>
      <c r="C89" s="5" t="s">
        <v>930</v>
      </c>
      <c r="D89" s="5" t="s">
        <v>733</v>
      </c>
      <c r="E89" s="5">
        <v>2.0</v>
      </c>
      <c r="F89" s="5">
        <v>17.0</v>
      </c>
      <c r="G89" s="5">
        <v>100000.0</v>
      </c>
      <c r="H89" s="5">
        <v>95.0</v>
      </c>
      <c r="I89" s="5">
        <f t="shared" si="1"/>
        <v>9.5</v>
      </c>
      <c r="J89" s="5">
        <v>1.0</v>
      </c>
      <c r="K89" s="5">
        <v>30.0</v>
      </c>
      <c r="L89" s="5">
        <v>76.0</v>
      </c>
      <c r="M89" s="5">
        <v>170.0</v>
      </c>
      <c r="N89" s="5" t="s">
        <v>734</v>
      </c>
      <c r="O89" s="5" t="s">
        <v>735</v>
      </c>
      <c r="P89" s="5" t="s">
        <v>793</v>
      </c>
      <c r="Q89" s="5" t="s">
        <v>734</v>
      </c>
      <c r="R89" s="5" t="s">
        <v>738</v>
      </c>
      <c r="S89" s="5">
        <v>12.0</v>
      </c>
      <c r="T89" s="5">
        <v>44.0</v>
      </c>
      <c r="U89" s="5">
        <v>20.0</v>
      </c>
      <c r="V89" s="5" t="s">
        <v>126</v>
      </c>
      <c r="W89" s="24" t="s">
        <v>738</v>
      </c>
      <c r="X89" s="4"/>
      <c r="Y89" s="4"/>
      <c r="Z89" s="4"/>
    </row>
    <row r="90" ht="14.25" customHeight="1">
      <c r="A90" s="22"/>
      <c r="B90" s="23" t="s">
        <v>931</v>
      </c>
      <c r="C90" s="5" t="s">
        <v>932</v>
      </c>
      <c r="D90" s="5" t="s">
        <v>733</v>
      </c>
      <c r="E90" s="5">
        <v>2.0</v>
      </c>
      <c r="F90" s="5">
        <v>17.0</v>
      </c>
      <c r="G90" s="5">
        <v>150000.0</v>
      </c>
      <c r="H90" s="5">
        <v>95.0</v>
      </c>
      <c r="I90" s="5">
        <f t="shared" si="1"/>
        <v>14.25</v>
      </c>
      <c r="J90" s="5">
        <v>1.0</v>
      </c>
      <c r="K90" s="5">
        <v>40.0</v>
      </c>
      <c r="L90" s="5">
        <v>76.0</v>
      </c>
      <c r="M90" s="5">
        <v>200.0</v>
      </c>
      <c r="N90" s="5" t="s">
        <v>734</v>
      </c>
      <c r="O90" s="5" t="s">
        <v>735</v>
      </c>
      <c r="P90" s="5" t="s">
        <v>793</v>
      </c>
      <c r="Q90" s="5" t="s">
        <v>734</v>
      </c>
      <c r="R90" s="5" t="s">
        <v>738</v>
      </c>
      <c r="S90" s="5">
        <v>12.0</v>
      </c>
      <c r="T90" s="5">
        <v>40.0</v>
      </c>
      <c r="U90" s="5">
        <v>20.0</v>
      </c>
      <c r="V90" s="5" t="s">
        <v>126</v>
      </c>
      <c r="W90" s="24" t="s">
        <v>738</v>
      </c>
      <c r="X90" s="4"/>
      <c r="Y90" s="4"/>
      <c r="Z90" s="4"/>
    </row>
    <row r="91" ht="14.25" customHeight="1">
      <c r="A91" s="22"/>
      <c r="B91" s="23" t="s">
        <v>933</v>
      </c>
      <c r="C91" s="5" t="s">
        <v>934</v>
      </c>
      <c r="D91" s="5" t="s">
        <v>733</v>
      </c>
      <c r="E91" s="5">
        <v>2.0</v>
      </c>
      <c r="F91" s="5">
        <v>17.0</v>
      </c>
      <c r="G91" s="5">
        <v>180000.0</v>
      </c>
      <c r="H91" s="5">
        <v>95.0</v>
      </c>
      <c r="I91" s="5">
        <f t="shared" si="1"/>
        <v>17.1</v>
      </c>
      <c r="J91" s="5">
        <v>1.0</v>
      </c>
      <c r="K91" s="5">
        <v>45.0</v>
      </c>
      <c r="L91" s="5">
        <v>76.0</v>
      </c>
      <c r="M91" s="5">
        <v>220.0</v>
      </c>
      <c r="N91" s="5" t="s">
        <v>734</v>
      </c>
      <c r="O91" s="5" t="s">
        <v>735</v>
      </c>
      <c r="P91" s="5" t="s">
        <v>793</v>
      </c>
      <c r="Q91" s="5" t="s">
        <v>734</v>
      </c>
      <c r="R91" s="5" t="s">
        <v>738</v>
      </c>
      <c r="S91" s="5">
        <v>12.0</v>
      </c>
      <c r="T91" s="5">
        <v>36.0</v>
      </c>
      <c r="U91" s="5">
        <v>20.0</v>
      </c>
      <c r="V91" s="5" t="s">
        <v>126</v>
      </c>
      <c r="W91" s="24" t="s">
        <v>738</v>
      </c>
      <c r="X91" s="4"/>
      <c r="Y91" s="4"/>
      <c r="Z91" s="4"/>
    </row>
    <row r="92" ht="14.25" customHeight="1">
      <c r="A92" s="22"/>
      <c r="B92" s="23" t="s">
        <v>935</v>
      </c>
      <c r="C92" s="5" t="s">
        <v>936</v>
      </c>
      <c r="D92" s="5" t="s">
        <v>733</v>
      </c>
      <c r="E92" s="5">
        <v>2.0</v>
      </c>
      <c r="F92" s="5">
        <v>17.0</v>
      </c>
      <c r="G92" s="5">
        <v>200000.0</v>
      </c>
      <c r="H92" s="5">
        <v>95.0</v>
      </c>
      <c r="I92" s="5">
        <f t="shared" si="1"/>
        <v>19</v>
      </c>
      <c r="J92" s="5">
        <v>1.0</v>
      </c>
      <c r="K92" s="5">
        <v>50.0</v>
      </c>
      <c r="L92" s="5">
        <v>76.0</v>
      </c>
      <c r="M92" s="5">
        <v>235.0</v>
      </c>
      <c r="N92" s="5" t="s">
        <v>734</v>
      </c>
      <c r="O92" s="5" t="s">
        <v>735</v>
      </c>
      <c r="P92" s="5" t="s">
        <v>793</v>
      </c>
      <c r="Q92" s="5" t="s">
        <v>734</v>
      </c>
      <c r="R92" s="5" t="s">
        <v>738</v>
      </c>
      <c r="S92" s="5">
        <v>12.0</v>
      </c>
      <c r="T92" s="5">
        <v>32.0</v>
      </c>
      <c r="U92" s="5">
        <v>20.0</v>
      </c>
      <c r="V92" s="5" t="s">
        <v>126</v>
      </c>
      <c r="W92" s="24" t="s">
        <v>738</v>
      </c>
      <c r="X92" s="4"/>
      <c r="Y92" s="4"/>
      <c r="Z92" s="4"/>
    </row>
    <row r="93" ht="14.25" customHeight="1">
      <c r="A93" s="25"/>
      <c r="B93" s="23" t="s">
        <v>937</v>
      </c>
      <c r="C93" s="5" t="s">
        <v>938</v>
      </c>
      <c r="D93" s="5" t="s">
        <v>733</v>
      </c>
      <c r="E93" s="5">
        <v>2.0</v>
      </c>
      <c r="F93" s="5">
        <v>17.0</v>
      </c>
      <c r="G93" s="5">
        <v>250000.0</v>
      </c>
      <c r="H93" s="5">
        <v>95.0</v>
      </c>
      <c r="I93" s="5">
        <f t="shared" si="1"/>
        <v>23.75</v>
      </c>
      <c r="J93" s="5">
        <v>1.0</v>
      </c>
      <c r="K93" s="5">
        <v>55.0</v>
      </c>
      <c r="L93" s="5">
        <v>76.0</v>
      </c>
      <c r="M93" s="5">
        <v>260.0</v>
      </c>
      <c r="N93" s="5" t="s">
        <v>734</v>
      </c>
      <c r="O93" s="5" t="s">
        <v>735</v>
      </c>
      <c r="P93" s="5" t="s">
        <v>793</v>
      </c>
      <c r="Q93" s="5" t="s">
        <v>734</v>
      </c>
      <c r="R93" s="5" t="s">
        <v>738</v>
      </c>
      <c r="S93" s="5">
        <v>6.0</v>
      </c>
      <c r="T93" s="5">
        <v>28.0</v>
      </c>
      <c r="U93" s="5">
        <v>20.0</v>
      </c>
      <c r="V93" s="5" t="s">
        <v>126</v>
      </c>
      <c r="W93" s="24" t="s">
        <v>738</v>
      </c>
      <c r="X93" s="4"/>
      <c r="Y93" s="4"/>
      <c r="Z93" s="4"/>
    </row>
    <row r="94" ht="14.25" customHeight="1">
      <c r="A94" s="16" t="s">
        <v>939</v>
      </c>
      <c r="B94" s="23" t="s">
        <v>940</v>
      </c>
      <c r="C94" s="5" t="s">
        <v>941</v>
      </c>
      <c r="D94" s="5" t="s">
        <v>733</v>
      </c>
      <c r="E94" s="5">
        <v>2.0</v>
      </c>
      <c r="F94" s="5">
        <v>17.0</v>
      </c>
      <c r="G94" s="5">
        <v>80000.0</v>
      </c>
      <c r="H94" s="5">
        <v>95.0</v>
      </c>
      <c r="I94" s="5">
        <f t="shared" si="1"/>
        <v>7.6</v>
      </c>
      <c r="J94" s="5">
        <v>1.0</v>
      </c>
      <c r="K94" s="5">
        <v>20.0</v>
      </c>
      <c r="L94" s="5">
        <v>60.0</v>
      </c>
      <c r="M94" s="5">
        <v>130.0</v>
      </c>
      <c r="N94" s="5" t="s">
        <v>734</v>
      </c>
      <c r="O94" s="5" t="s">
        <v>735</v>
      </c>
      <c r="P94" s="5" t="s">
        <v>793</v>
      </c>
      <c r="Q94" s="5" t="s">
        <v>734</v>
      </c>
      <c r="R94" s="5" t="s">
        <v>738</v>
      </c>
      <c r="S94" s="5">
        <v>12.0</v>
      </c>
      <c r="T94" s="5">
        <v>56.0</v>
      </c>
      <c r="U94" s="5">
        <v>20.0</v>
      </c>
      <c r="V94" s="5" t="s">
        <v>126</v>
      </c>
      <c r="W94" s="24" t="s">
        <v>738</v>
      </c>
      <c r="X94" s="4"/>
      <c r="Y94" s="4"/>
      <c r="Z94" s="4"/>
    </row>
    <row r="95" ht="14.25" customHeight="1">
      <c r="A95" s="22"/>
      <c r="B95" s="23" t="s">
        <v>942</v>
      </c>
      <c r="C95" s="5" t="s">
        <v>943</v>
      </c>
      <c r="D95" s="5" t="s">
        <v>733</v>
      </c>
      <c r="E95" s="5">
        <v>2.0</v>
      </c>
      <c r="F95" s="5">
        <v>17.0</v>
      </c>
      <c r="G95" s="5">
        <v>100000.0</v>
      </c>
      <c r="H95" s="5">
        <v>95.0</v>
      </c>
      <c r="I95" s="5">
        <f t="shared" si="1"/>
        <v>9.5</v>
      </c>
      <c r="J95" s="5">
        <v>1.0</v>
      </c>
      <c r="K95" s="5">
        <v>22.0</v>
      </c>
      <c r="L95" s="5">
        <v>60.0</v>
      </c>
      <c r="M95" s="5">
        <v>145.0</v>
      </c>
      <c r="N95" s="5" t="s">
        <v>734</v>
      </c>
      <c r="O95" s="5" t="s">
        <v>735</v>
      </c>
      <c r="P95" s="5" t="s">
        <v>793</v>
      </c>
      <c r="Q95" s="5" t="s">
        <v>734</v>
      </c>
      <c r="R95" s="5" t="s">
        <v>738</v>
      </c>
      <c r="S95" s="5">
        <v>12.0</v>
      </c>
      <c r="T95" s="5">
        <v>52.0</v>
      </c>
      <c r="U95" s="5">
        <v>20.0</v>
      </c>
      <c r="V95" s="5" t="s">
        <v>126</v>
      </c>
      <c r="W95" s="24" t="s">
        <v>738</v>
      </c>
      <c r="X95" s="4"/>
      <c r="Y95" s="4"/>
      <c r="Z95" s="4"/>
    </row>
    <row r="96" ht="14.25" customHeight="1">
      <c r="A96" s="22"/>
      <c r="B96" s="23" t="s">
        <v>944</v>
      </c>
      <c r="C96" s="5" t="s">
        <v>945</v>
      </c>
      <c r="D96" s="5" t="s">
        <v>733</v>
      </c>
      <c r="E96" s="5">
        <v>2.0</v>
      </c>
      <c r="F96" s="5">
        <v>17.0</v>
      </c>
      <c r="G96" s="5">
        <v>120000.0</v>
      </c>
      <c r="H96" s="5">
        <v>95.0</v>
      </c>
      <c r="I96" s="5">
        <f t="shared" si="1"/>
        <v>11.4</v>
      </c>
      <c r="J96" s="5">
        <v>1.0</v>
      </c>
      <c r="K96" s="5">
        <v>25.0</v>
      </c>
      <c r="L96" s="5">
        <v>60.0</v>
      </c>
      <c r="M96" s="5">
        <v>160.0</v>
      </c>
      <c r="N96" s="5" t="s">
        <v>734</v>
      </c>
      <c r="O96" s="5" t="s">
        <v>735</v>
      </c>
      <c r="P96" s="5" t="s">
        <v>793</v>
      </c>
      <c r="Q96" s="5" t="s">
        <v>734</v>
      </c>
      <c r="R96" s="5" t="s">
        <v>738</v>
      </c>
      <c r="S96" s="5">
        <v>12.0</v>
      </c>
      <c r="T96" s="5">
        <v>48.0</v>
      </c>
      <c r="U96" s="5">
        <v>20.0</v>
      </c>
      <c r="V96" s="5" t="s">
        <v>126</v>
      </c>
      <c r="W96" s="24" t="s">
        <v>738</v>
      </c>
      <c r="X96" s="4"/>
      <c r="Y96" s="4"/>
      <c r="Z96" s="4"/>
    </row>
    <row r="97" ht="14.25" customHeight="1">
      <c r="A97" s="25"/>
      <c r="B97" s="23" t="s">
        <v>946</v>
      </c>
      <c r="C97" s="5" t="s">
        <v>947</v>
      </c>
      <c r="D97" s="5" t="s">
        <v>733</v>
      </c>
      <c r="E97" s="5">
        <v>2.0</v>
      </c>
      <c r="F97" s="5">
        <v>17.0</v>
      </c>
      <c r="G97" s="5">
        <v>150000.0</v>
      </c>
      <c r="H97" s="5">
        <v>95.0</v>
      </c>
      <c r="I97" s="5">
        <f t="shared" si="1"/>
        <v>14.25</v>
      </c>
      <c r="J97" s="5">
        <v>1.0</v>
      </c>
      <c r="K97" s="5">
        <v>28.0</v>
      </c>
      <c r="L97" s="5">
        <v>60.0</v>
      </c>
      <c r="M97" s="5">
        <v>175.0</v>
      </c>
      <c r="N97" s="5" t="s">
        <v>734</v>
      </c>
      <c r="O97" s="5" t="s">
        <v>735</v>
      </c>
      <c r="P97" s="5" t="s">
        <v>793</v>
      </c>
      <c r="Q97" s="5" t="s">
        <v>734</v>
      </c>
      <c r="R97" s="5" t="s">
        <v>738</v>
      </c>
      <c r="S97" s="5">
        <v>12.0</v>
      </c>
      <c r="T97" s="5">
        <v>44.0</v>
      </c>
      <c r="U97" s="5">
        <v>20.0</v>
      </c>
      <c r="V97" s="5" t="s">
        <v>126</v>
      </c>
      <c r="W97" s="24" t="s">
        <v>738</v>
      </c>
      <c r="X97" s="4"/>
      <c r="Y97" s="4"/>
      <c r="Z97" s="4"/>
    </row>
    <row r="98" ht="14.25" customHeight="1">
      <c r="A98" s="16" t="s">
        <v>948</v>
      </c>
      <c r="B98" s="23" t="s">
        <v>949</v>
      </c>
      <c r="C98" s="5" t="s">
        <v>950</v>
      </c>
      <c r="D98" s="5" t="s">
        <v>733</v>
      </c>
      <c r="E98" s="5">
        <v>2.0</v>
      </c>
      <c r="F98" s="5">
        <v>17.0</v>
      </c>
      <c r="G98" s="5">
        <v>100.0</v>
      </c>
      <c r="H98" s="5">
        <v>114.0</v>
      </c>
      <c r="I98" s="5">
        <f t="shared" si="1"/>
        <v>0.0114</v>
      </c>
      <c r="J98" s="5">
        <v>700.0</v>
      </c>
      <c r="K98" s="5">
        <v>0.0</v>
      </c>
      <c r="L98" s="5">
        <v>0.0</v>
      </c>
      <c r="M98" s="5">
        <v>135.0</v>
      </c>
      <c r="N98" s="5" t="s">
        <v>734</v>
      </c>
      <c r="O98" s="5" t="s">
        <v>735</v>
      </c>
      <c r="P98" s="5" t="s">
        <v>793</v>
      </c>
      <c r="Q98" s="5" t="s">
        <v>734</v>
      </c>
      <c r="R98" s="5" t="s">
        <v>794</v>
      </c>
      <c r="S98" s="5">
        <v>36.0</v>
      </c>
      <c r="T98" s="5">
        <v>48.0</v>
      </c>
      <c r="U98" s="5">
        <v>20.0</v>
      </c>
      <c r="V98" s="5" t="s">
        <v>126</v>
      </c>
      <c r="W98" s="24" t="s">
        <v>738</v>
      </c>
      <c r="X98" s="4"/>
      <c r="Y98" s="4"/>
      <c r="Z98" s="4"/>
    </row>
    <row r="99" ht="14.25" customHeight="1">
      <c r="A99" s="22"/>
      <c r="B99" s="23" t="s">
        <v>951</v>
      </c>
      <c r="C99" s="5" t="s">
        <v>952</v>
      </c>
      <c r="D99" s="5" t="s">
        <v>733</v>
      </c>
      <c r="E99" s="5">
        <v>2.0</v>
      </c>
      <c r="F99" s="5">
        <v>17.0</v>
      </c>
      <c r="G99" s="5">
        <v>100.0</v>
      </c>
      <c r="H99" s="5">
        <v>114.0</v>
      </c>
      <c r="I99" s="5">
        <f t="shared" si="1"/>
        <v>0.0114</v>
      </c>
      <c r="J99" s="5">
        <v>900.0</v>
      </c>
      <c r="K99" s="5">
        <v>0.0</v>
      </c>
      <c r="L99" s="5">
        <v>0.0</v>
      </c>
      <c r="M99" s="5">
        <v>150.0</v>
      </c>
      <c r="N99" s="5" t="s">
        <v>734</v>
      </c>
      <c r="O99" s="5" t="s">
        <v>735</v>
      </c>
      <c r="P99" s="5" t="s">
        <v>793</v>
      </c>
      <c r="Q99" s="5" t="s">
        <v>734</v>
      </c>
      <c r="R99" s="5" t="s">
        <v>794</v>
      </c>
      <c r="S99" s="5">
        <v>36.0</v>
      </c>
      <c r="T99" s="5">
        <v>44.0</v>
      </c>
      <c r="U99" s="5">
        <v>20.0</v>
      </c>
      <c r="V99" s="5" t="s">
        <v>126</v>
      </c>
      <c r="W99" s="24" t="s">
        <v>738</v>
      </c>
      <c r="X99" s="4"/>
      <c r="Y99" s="4"/>
      <c r="Z99" s="4"/>
    </row>
    <row r="100" ht="14.25" customHeight="1">
      <c r="A100" s="22"/>
      <c r="B100" s="23" t="s">
        <v>953</v>
      </c>
      <c r="C100" s="5" t="s">
        <v>954</v>
      </c>
      <c r="D100" s="5" t="s">
        <v>733</v>
      </c>
      <c r="E100" s="5">
        <v>2.0</v>
      </c>
      <c r="F100" s="5">
        <v>17.0</v>
      </c>
      <c r="G100" s="5">
        <v>100.0</v>
      </c>
      <c r="H100" s="5">
        <v>114.0</v>
      </c>
      <c r="I100" s="5">
        <f t="shared" si="1"/>
        <v>0.0114</v>
      </c>
      <c r="J100" s="5">
        <v>1000.0</v>
      </c>
      <c r="K100" s="5">
        <v>0.0</v>
      </c>
      <c r="L100" s="5">
        <v>0.0</v>
      </c>
      <c r="M100" s="5">
        <v>160.0</v>
      </c>
      <c r="N100" s="5" t="s">
        <v>734</v>
      </c>
      <c r="O100" s="5" t="s">
        <v>735</v>
      </c>
      <c r="P100" s="5" t="s">
        <v>793</v>
      </c>
      <c r="Q100" s="5" t="s">
        <v>734</v>
      </c>
      <c r="R100" s="5" t="s">
        <v>794</v>
      </c>
      <c r="S100" s="5">
        <v>36.0</v>
      </c>
      <c r="T100" s="5">
        <v>40.0</v>
      </c>
      <c r="U100" s="5">
        <v>20.0</v>
      </c>
      <c r="V100" s="5" t="s">
        <v>126</v>
      </c>
      <c r="W100" s="24" t="s">
        <v>738</v>
      </c>
      <c r="X100" s="4"/>
      <c r="Y100" s="4"/>
      <c r="Z100" s="4"/>
    </row>
    <row r="101" ht="14.25" customHeight="1">
      <c r="A101" s="22"/>
      <c r="B101" s="23" t="s">
        <v>955</v>
      </c>
      <c r="C101" s="5" t="s">
        <v>956</v>
      </c>
      <c r="D101" s="5" t="s">
        <v>733</v>
      </c>
      <c r="E101" s="5">
        <v>2.0</v>
      </c>
      <c r="F101" s="5">
        <v>17.0</v>
      </c>
      <c r="G101" s="5">
        <v>100.0</v>
      </c>
      <c r="H101" s="5">
        <v>114.0</v>
      </c>
      <c r="I101" s="5">
        <f t="shared" si="1"/>
        <v>0.0114</v>
      </c>
      <c r="J101" s="5">
        <v>1200.0</v>
      </c>
      <c r="K101" s="5">
        <v>0.0</v>
      </c>
      <c r="L101" s="5">
        <v>0.0</v>
      </c>
      <c r="M101" s="5">
        <v>175.0</v>
      </c>
      <c r="N101" s="5" t="s">
        <v>734</v>
      </c>
      <c r="O101" s="5" t="s">
        <v>735</v>
      </c>
      <c r="P101" s="5" t="s">
        <v>793</v>
      </c>
      <c r="Q101" s="5" t="s">
        <v>734</v>
      </c>
      <c r="R101" s="5" t="s">
        <v>794</v>
      </c>
      <c r="S101" s="5">
        <v>24.0</v>
      </c>
      <c r="T101" s="5">
        <v>36.0</v>
      </c>
      <c r="U101" s="5">
        <v>20.0</v>
      </c>
      <c r="V101" s="5" t="s">
        <v>126</v>
      </c>
      <c r="W101" s="24" t="s">
        <v>738</v>
      </c>
      <c r="X101" s="4"/>
      <c r="Y101" s="4"/>
      <c r="Z101" s="4"/>
    </row>
    <row r="102" ht="14.25" customHeight="1">
      <c r="A102" s="25"/>
      <c r="B102" s="23" t="s">
        <v>957</v>
      </c>
      <c r="C102" s="5" t="s">
        <v>958</v>
      </c>
      <c r="D102" s="5" t="s">
        <v>733</v>
      </c>
      <c r="E102" s="5">
        <v>2.0</v>
      </c>
      <c r="F102" s="5">
        <v>17.0</v>
      </c>
      <c r="G102" s="5">
        <v>100.0</v>
      </c>
      <c r="H102" s="5">
        <v>114.0</v>
      </c>
      <c r="I102" s="5">
        <f t="shared" si="1"/>
        <v>0.0114</v>
      </c>
      <c r="J102" s="5">
        <v>1500.0</v>
      </c>
      <c r="K102" s="5">
        <v>0.0</v>
      </c>
      <c r="L102" s="5">
        <v>0.0</v>
      </c>
      <c r="M102" s="5">
        <v>195.0</v>
      </c>
      <c r="N102" s="5" t="s">
        <v>734</v>
      </c>
      <c r="O102" s="5" t="s">
        <v>735</v>
      </c>
      <c r="P102" s="5" t="s">
        <v>793</v>
      </c>
      <c r="Q102" s="5" t="s">
        <v>734</v>
      </c>
      <c r="R102" s="5" t="s">
        <v>794</v>
      </c>
      <c r="S102" s="5">
        <v>18.0</v>
      </c>
      <c r="T102" s="5">
        <v>32.0</v>
      </c>
      <c r="U102" s="5">
        <v>20.0</v>
      </c>
      <c r="V102" s="5" t="s">
        <v>126</v>
      </c>
      <c r="W102" s="24" t="s">
        <v>738</v>
      </c>
      <c r="X102" s="4"/>
      <c r="Y102" s="4"/>
      <c r="Z102" s="4"/>
    </row>
    <row r="103" ht="14.25" customHeight="1">
      <c r="A103" s="37" t="s">
        <v>959</v>
      </c>
      <c r="B103" s="38"/>
      <c r="W103" s="39"/>
      <c r="X103" s="4"/>
      <c r="Y103" s="4"/>
      <c r="Z103" s="4"/>
    </row>
    <row r="104" ht="15.0" customHeight="1">
      <c r="A104" s="40" t="s">
        <v>960</v>
      </c>
      <c r="B104" s="23" t="s">
        <v>961</v>
      </c>
      <c r="C104" s="5" t="s">
        <v>962</v>
      </c>
      <c r="D104" s="5" t="s">
        <v>963</v>
      </c>
      <c r="E104" s="5">
        <v>1.0</v>
      </c>
      <c r="F104" s="5">
        <v>22.0</v>
      </c>
      <c r="G104" s="5">
        <v>100000.0</v>
      </c>
      <c r="H104" s="5">
        <v>200.0</v>
      </c>
      <c r="I104" s="5">
        <f t="shared" ref="I104:I153" si="2">G104*H104/1000000</f>
        <v>20</v>
      </c>
      <c r="J104" s="5">
        <v>1.0</v>
      </c>
      <c r="K104" s="5">
        <v>25.0</v>
      </c>
      <c r="L104" s="5">
        <v>76.0</v>
      </c>
      <c r="M104" s="5">
        <v>180.0</v>
      </c>
      <c r="N104" s="5" t="s">
        <v>964</v>
      </c>
      <c r="O104" s="5" t="s">
        <v>735</v>
      </c>
      <c r="P104" s="5" t="s">
        <v>793</v>
      </c>
      <c r="Q104" s="5" t="s">
        <v>734</v>
      </c>
      <c r="R104" s="5" t="s">
        <v>794</v>
      </c>
      <c r="S104" s="5">
        <v>6.0</v>
      </c>
      <c r="T104" s="5">
        <v>40.0</v>
      </c>
      <c r="U104" s="5">
        <v>18.0</v>
      </c>
      <c r="V104" s="5" t="s">
        <v>210</v>
      </c>
      <c r="W104" s="24" t="s">
        <v>738</v>
      </c>
      <c r="X104" s="4"/>
      <c r="Y104" s="4"/>
      <c r="Z104" s="4"/>
    </row>
    <row r="105" ht="15.0" customHeight="1">
      <c r="A105" s="22"/>
      <c r="B105" s="23" t="s">
        <v>965</v>
      </c>
      <c r="C105" s="5" t="s">
        <v>966</v>
      </c>
      <c r="D105" s="5" t="s">
        <v>963</v>
      </c>
      <c r="E105" s="5">
        <v>1.0</v>
      </c>
      <c r="F105" s="5">
        <v>22.0</v>
      </c>
      <c r="G105" s="5">
        <v>150000.0</v>
      </c>
      <c r="H105" s="5">
        <v>200.0</v>
      </c>
      <c r="I105" s="5">
        <f t="shared" si="2"/>
        <v>30</v>
      </c>
      <c r="J105" s="5">
        <v>1.0</v>
      </c>
      <c r="K105" s="5">
        <v>30.0</v>
      </c>
      <c r="L105" s="5">
        <v>76.0</v>
      </c>
      <c r="M105" s="5">
        <v>210.0</v>
      </c>
      <c r="N105" s="5" t="s">
        <v>964</v>
      </c>
      <c r="O105" s="5" t="s">
        <v>735</v>
      </c>
      <c r="P105" s="5" t="s">
        <v>793</v>
      </c>
      <c r="Q105" s="5" t="s">
        <v>734</v>
      </c>
      <c r="R105" s="5" t="s">
        <v>794</v>
      </c>
      <c r="S105" s="5">
        <v>6.0</v>
      </c>
      <c r="T105" s="5">
        <v>36.0</v>
      </c>
      <c r="U105" s="5">
        <v>18.0</v>
      </c>
      <c r="V105" s="5" t="s">
        <v>210</v>
      </c>
      <c r="W105" s="24" t="s">
        <v>738</v>
      </c>
      <c r="X105" s="4"/>
      <c r="Y105" s="4"/>
      <c r="Z105" s="4"/>
    </row>
    <row r="106" ht="15.0" customHeight="1">
      <c r="A106" s="22"/>
      <c r="B106" s="23" t="s">
        <v>967</v>
      </c>
      <c r="C106" s="5" t="s">
        <v>968</v>
      </c>
      <c r="D106" s="5" t="s">
        <v>963</v>
      </c>
      <c r="E106" s="5">
        <v>1.0</v>
      </c>
      <c r="F106" s="5">
        <v>22.0</v>
      </c>
      <c r="G106" s="5">
        <v>200000.0</v>
      </c>
      <c r="H106" s="5">
        <v>200.0</v>
      </c>
      <c r="I106" s="5">
        <f t="shared" si="2"/>
        <v>40</v>
      </c>
      <c r="J106" s="5">
        <v>1.0</v>
      </c>
      <c r="K106" s="5">
        <v>35.0</v>
      </c>
      <c r="L106" s="5">
        <v>76.0</v>
      </c>
      <c r="M106" s="5">
        <v>240.0</v>
      </c>
      <c r="N106" s="5" t="s">
        <v>964</v>
      </c>
      <c r="O106" s="5" t="s">
        <v>735</v>
      </c>
      <c r="P106" s="5" t="s">
        <v>793</v>
      </c>
      <c r="Q106" s="5" t="s">
        <v>734</v>
      </c>
      <c r="R106" s="5" t="s">
        <v>794</v>
      </c>
      <c r="S106" s="5">
        <v>6.0</v>
      </c>
      <c r="T106" s="5">
        <v>32.0</v>
      </c>
      <c r="U106" s="5">
        <v>18.0</v>
      </c>
      <c r="V106" s="5" t="s">
        <v>210</v>
      </c>
      <c r="W106" s="24" t="s">
        <v>738</v>
      </c>
      <c r="X106" s="4"/>
      <c r="Y106" s="4"/>
      <c r="Z106" s="4"/>
    </row>
    <row r="107" ht="15.0" customHeight="1">
      <c r="A107" s="22"/>
      <c r="B107" s="23" t="s">
        <v>969</v>
      </c>
      <c r="C107" s="5" t="s">
        <v>970</v>
      </c>
      <c r="D107" s="5" t="s">
        <v>963</v>
      </c>
      <c r="E107" s="5">
        <v>1.0</v>
      </c>
      <c r="F107" s="5">
        <v>22.0</v>
      </c>
      <c r="G107" s="5">
        <v>275000.0</v>
      </c>
      <c r="H107" s="5">
        <v>200.0</v>
      </c>
      <c r="I107" s="5">
        <f t="shared" si="2"/>
        <v>55</v>
      </c>
      <c r="J107" s="5">
        <v>1.0</v>
      </c>
      <c r="K107" s="5">
        <v>40.0</v>
      </c>
      <c r="L107" s="5">
        <v>76.0</v>
      </c>
      <c r="M107" s="5">
        <v>275.0</v>
      </c>
      <c r="N107" s="5" t="s">
        <v>964</v>
      </c>
      <c r="O107" s="5" t="s">
        <v>735</v>
      </c>
      <c r="P107" s="5" t="s">
        <v>793</v>
      </c>
      <c r="Q107" s="5" t="s">
        <v>734</v>
      </c>
      <c r="R107" s="5" t="s">
        <v>794</v>
      </c>
      <c r="S107" s="5">
        <v>6.0</v>
      </c>
      <c r="T107" s="5">
        <v>28.0</v>
      </c>
      <c r="U107" s="5">
        <v>18.0</v>
      </c>
      <c r="V107" s="5" t="s">
        <v>210</v>
      </c>
      <c r="W107" s="24" t="s">
        <v>738</v>
      </c>
      <c r="X107" s="4"/>
      <c r="Y107" s="4"/>
      <c r="Z107" s="4"/>
    </row>
    <row r="108" ht="15.0" customHeight="1">
      <c r="A108" s="22"/>
      <c r="B108" s="23" t="s">
        <v>971</v>
      </c>
      <c r="C108" s="5" t="s">
        <v>972</v>
      </c>
      <c r="D108" s="5" t="s">
        <v>963</v>
      </c>
      <c r="E108" s="5">
        <v>1.0</v>
      </c>
      <c r="F108" s="5">
        <v>22.0</v>
      </c>
      <c r="G108" s="5">
        <v>300000.0</v>
      </c>
      <c r="H108" s="5">
        <v>200.0</v>
      </c>
      <c r="I108" s="5">
        <f t="shared" si="2"/>
        <v>60</v>
      </c>
      <c r="J108" s="5">
        <v>1.0</v>
      </c>
      <c r="K108" s="5">
        <v>45.0</v>
      </c>
      <c r="L108" s="5">
        <v>76.0</v>
      </c>
      <c r="M108" s="5">
        <v>290.0</v>
      </c>
      <c r="N108" s="5" t="s">
        <v>964</v>
      </c>
      <c r="O108" s="5" t="s">
        <v>735</v>
      </c>
      <c r="P108" s="5" t="s">
        <v>793</v>
      </c>
      <c r="Q108" s="5" t="s">
        <v>734</v>
      </c>
      <c r="R108" s="5" t="s">
        <v>794</v>
      </c>
      <c r="S108" s="5">
        <v>6.0</v>
      </c>
      <c r="T108" s="5">
        <v>24.0</v>
      </c>
      <c r="U108" s="5">
        <v>18.0</v>
      </c>
      <c r="V108" s="5" t="s">
        <v>210</v>
      </c>
      <c r="W108" s="24" t="s">
        <v>738</v>
      </c>
      <c r="X108" s="4"/>
      <c r="Y108" s="4"/>
      <c r="Z108" s="4"/>
    </row>
    <row r="109" ht="15.0" customHeight="1">
      <c r="A109" s="22"/>
      <c r="B109" s="23" t="s">
        <v>973</v>
      </c>
      <c r="C109" s="5" t="s">
        <v>974</v>
      </c>
      <c r="D109" s="5" t="s">
        <v>963</v>
      </c>
      <c r="E109" s="5">
        <v>2.0</v>
      </c>
      <c r="F109" s="5">
        <v>20.0</v>
      </c>
      <c r="G109" s="5">
        <v>60000.0</v>
      </c>
      <c r="H109" s="5">
        <v>200.0</v>
      </c>
      <c r="I109" s="5">
        <f t="shared" si="2"/>
        <v>12</v>
      </c>
      <c r="J109" s="5">
        <v>1.0</v>
      </c>
      <c r="K109" s="5">
        <v>20.0</v>
      </c>
      <c r="L109" s="5">
        <v>76.0</v>
      </c>
      <c r="M109" s="5">
        <v>160.0</v>
      </c>
      <c r="N109" s="5" t="s">
        <v>964</v>
      </c>
      <c r="O109" s="5" t="s">
        <v>735</v>
      </c>
      <c r="P109" s="5" t="s">
        <v>736</v>
      </c>
      <c r="Q109" s="5" t="s">
        <v>734</v>
      </c>
      <c r="R109" s="5" t="s">
        <v>794</v>
      </c>
      <c r="S109" s="5">
        <v>6.0</v>
      </c>
      <c r="T109" s="5">
        <v>44.0</v>
      </c>
      <c r="U109" s="5">
        <v>18.0</v>
      </c>
      <c r="V109" s="5" t="s">
        <v>208</v>
      </c>
      <c r="W109" s="24" t="s">
        <v>738</v>
      </c>
      <c r="X109" s="4"/>
      <c r="Y109" s="4"/>
      <c r="Z109" s="4"/>
    </row>
    <row r="110" ht="15.0" customHeight="1">
      <c r="A110" s="22"/>
      <c r="B110" s="23" t="s">
        <v>975</v>
      </c>
      <c r="C110" s="5" t="s">
        <v>976</v>
      </c>
      <c r="D110" s="5" t="s">
        <v>963</v>
      </c>
      <c r="E110" s="5">
        <v>2.0</v>
      </c>
      <c r="F110" s="5">
        <v>20.0</v>
      </c>
      <c r="G110" s="5">
        <v>100000.0</v>
      </c>
      <c r="H110" s="5">
        <v>200.0</v>
      </c>
      <c r="I110" s="5">
        <f t="shared" si="2"/>
        <v>20</v>
      </c>
      <c r="J110" s="5">
        <v>1.0</v>
      </c>
      <c r="K110" s="5">
        <v>28.0</v>
      </c>
      <c r="L110" s="5">
        <v>76.0</v>
      </c>
      <c r="M110" s="5">
        <v>200.0</v>
      </c>
      <c r="N110" s="5" t="s">
        <v>964</v>
      </c>
      <c r="O110" s="5" t="s">
        <v>735</v>
      </c>
      <c r="P110" s="5" t="s">
        <v>736</v>
      </c>
      <c r="Q110" s="5" t="s">
        <v>734</v>
      </c>
      <c r="R110" s="5" t="s">
        <v>794</v>
      </c>
      <c r="S110" s="5">
        <v>6.0</v>
      </c>
      <c r="T110" s="5">
        <v>36.0</v>
      </c>
      <c r="U110" s="5">
        <v>18.0</v>
      </c>
      <c r="V110" s="5" t="s">
        <v>208</v>
      </c>
      <c r="W110" s="24" t="s">
        <v>738</v>
      </c>
      <c r="X110" s="4"/>
      <c r="Y110" s="4"/>
      <c r="Z110" s="4"/>
    </row>
    <row r="111" ht="15.0" customHeight="1">
      <c r="A111" s="25"/>
      <c r="B111" s="23" t="s">
        <v>977</v>
      </c>
      <c r="C111" s="5" t="s">
        <v>978</v>
      </c>
      <c r="D111" s="5" t="s">
        <v>963</v>
      </c>
      <c r="E111" s="5">
        <v>2.0</v>
      </c>
      <c r="F111" s="5">
        <v>20.0</v>
      </c>
      <c r="G111" s="5">
        <v>150000.0</v>
      </c>
      <c r="H111" s="5">
        <v>200.0</v>
      </c>
      <c r="I111" s="5">
        <f t="shared" si="2"/>
        <v>30</v>
      </c>
      <c r="J111" s="5">
        <v>1.0</v>
      </c>
      <c r="K111" s="5">
        <v>35.0</v>
      </c>
      <c r="L111" s="5">
        <v>76.0</v>
      </c>
      <c r="M111" s="5">
        <v>240.0</v>
      </c>
      <c r="N111" s="5" t="s">
        <v>964</v>
      </c>
      <c r="O111" s="5" t="s">
        <v>735</v>
      </c>
      <c r="P111" s="5" t="s">
        <v>736</v>
      </c>
      <c r="Q111" s="5" t="s">
        <v>734</v>
      </c>
      <c r="R111" s="5" t="s">
        <v>794</v>
      </c>
      <c r="S111" s="5">
        <v>6.0</v>
      </c>
      <c r="T111" s="5">
        <v>32.0</v>
      </c>
      <c r="U111" s="5">
        <v>18.0</v>
      </c>
      <c r="V111" s="5" t="s">
        <v>208</v>
      </c>
      <c r="W111" s="24" t="s">
        <v>738</v>
      </c>
      <c r="X111" s="4"/>
      <c r="Y111" s="4"/>
      <c r="Z111" s="4"/>
    </row>
    <row r="112" ht="15.0" customHeight="1">
      <c r="A112" s="40" t="s">
        <v>979</v>
      </c>
      <c r="B112" s="23" t="s">
        <v>980</v>
      </c>
      <c r="C112" s="5" t="s">
        <v>981</v>
      </c>
      <c r="D112" s="5" t="s">
        <v>963</v>
      </c>
      <c r="E112" s="5">
        <v>1.0</v>
      </c>
      <c r="F112" s="5">
        <v>22.0</v>
      </c>
      <c r="G112" s="5">
        <v>100000.0</v>
      </c>
      <c r="H112" s="5">
        <v>210.0</v>
      </c>
      <c r="I112" s="5">
        <f t="shared" si="2"/>
        <v>21</v>
      </c>
      <c r="J112" s="5">
        <v>1.0</v>
      </c>
      <c r="K112" s="5">
        <v>30.0</v>
      </c>
      <c r="L112" s="5">
        <v>40.0</v>
      </c>
      <c r="M112" s="5">
        <v>145.0</v>
      </c>
      <c r="N112" s="5" t="s">
        <v>964</v>
      </c>
      <c r="O112" s="5" t="s">
        <v>735</v>
      </c>
      <c r="P112" s="5" t="s">
        <v>793</v>
      </c>
      <c r="Q112" s="5" t="s">
        <v>734</v>
      </c>
      <c r="R112" s="5" t="s">
        <v>794</v>
      </c>
      <c r="S112" s="5">
        <v>6.0</v>
      </c>
      <c r="T112" s="5">
        <v>48.0</v>
      </c>
      <c r="U112" s="5">
        <v>18.0</v>
      </c>
      <c r="V112" s="5" t="s">
        <v>210</v>
      </c>
      <c r="W112" s="24" t="s">
        <v>738</v>
      </c>
      <c r="X112" s="4"/>
      <c r="Y112" s="4"/>
      <c r="Z112" s="4"/>
    </row>
    <row r="113" ht="14.25" customHeight="1">
      <c r="A113" s="22"/>
      <c r="B113" s="23" t="s">
        <v>982</v>
      </c>
      <c r="C113" s="5" t="s">
        <v>983</v>
      </c>
      <c r="D113" s="5" t="s">
        <v>963</v>
      </c>
      <c r="E113" s="5">
        <v>1.0</v>
      </c>
      <c r="F113" s="5">
        <v>22.0</v>
      </c>
      <c r="G113" s="5">
        <v>150000.0</v>
      </c>
      <c r="H113" s="5">
        <v>210.0</v>
      </c>
      <c r="I113" s="5">
        <f t="shared" si="2"/>
        <v>31.5</v>
      </c>
      <c r="J113" s="5">
        <v>1.0</v>
      </c>
      <c r="K113" s="5">
        <v>35.0</v>
      </c>
      <c r="L113" s="5">
        <v>40.0</v>
      </c>
      <c r="M113" s="5">
        <v>170.0</v>
      </c>
      <c r="N113" s="5" t="s">
        <v>964</v>
      </c>
      <c r="O113" s="5" t="s">
        <v>735</v>
      </c>
      <c r="P113" s="5" t="s">
        <v>793</v>
      </c>
      <c r="Q113" s="5" t="s">
        <v>734</v>
      </c>
      <c r="R113" s="5" t="s">
        <v>794</v>
      </c>
      <c r="S113" s="5">
        <v>6.0</v>
      </c>
      <c r="T113" s="5">
        <v>44.0</v>
      </c>
      <c r="U113" s="5">
        <v>18.0</v>
      </c>
      <c r="V113" s="5" t="s">
        <v>210</v>
      </c>
      <c r="W113" s="24" t="s">
        <v>738</v>
      </c>
      <c r="X113" s="4"/>
      <c r="Y113" s="4"/>
      <c r="Z113" s="4"/>
    </row>
    <row r="114" ht="14.25" customHeight="1">
      <c r="A114" s="22"/>
      <c r="B114" s="23" t="s">
        <v>984</v>
      </c>
      <c r="C114" s="5" t="s">
        <v>985</v>
      </c>
      <c r="D114" s="5" t="s">
        <v>963</v>
      </c>
      <c r="E114" s="5">
        <v>1.0</v>
      </c>
      <c r="F114" s="5">
        <v>22.0</v>
      </c>
      <c r="G114" s="5">
        <v>200000.0</v>
      </c>
      <c r="H114" s="5">
        <v>210.0</v>
      </c>
      <c r="I114" s="5">
        <f t="shared" si="2"/>
        <v>42</v>
      </c>
      <c r="J114" s="5">
        <v>1.0</v>
      </c>
      <c r="K114" s="5">
        <v>40.0</v>
      </c>
      <c r="L114" s="5">
        <v>40.0</v>
      </c>
      <c r="M114" s="5">
        <v>195.0</v>
      </c>
      <c r="N114" s="5" t="s">
        <v>964</v>
      </c>
      <c r="O114" s="5" t="s">
        <v>735</v>
      </c>
      <c r="P114" s="5" t="s">
        <v>793</v>
      </c>
      <c r="Q114" s="5" t="s">
        <v>734</v>
      </c>
      <c r="R114" s="5" t="s">
        <v>794</v>
      </c>
      <c r="S114" s="5">
        <v>6.0</v>
      </c>
      <c r="T114" s="5">
        <v>40.0</v>
      </c>
      <c r="U114" s="5">
        <v>18.0</v>
      </c>
      <c r="V114" s="5" t="s">
        <v>210</v>
      </c>
      <c r="W114" s="24" t="s">
        <v>738</v>
      </c>
      <c r="X114" s="4"/>
      <c r="Y114" s="4"/>
      <c r="Z114" s="4"/>
    </row>
    <row r="115" ht="14.25" customHeight="1">
      <c r="A115" s="22"/>
      <c r="B115" s="23" t="s">
        <v>986</v>
      </c>
      <c r="C115" s="5" t="s">
        <v>987</v>
      </c>
      <c r="D115" s="5" t="s">
        <v>963</v>
      </c>
      <c r="E115" s="5">
        <v>1.0</v>
      </c>
      <c r="F115" s="5">
        <v>22.0</v>
      </c>
      <c r="G115" s="5">
        <v>300000.0</v>
      </c>
      <c r="H115" s="5">
        <v>210.0</v>
      </c>
      <c r="I115" s="5">
        <f t="shared" si="2"/>
        <v>63</v>
      </c>
      <c r="J115" s="5">
        <v>1.0</v>
      </c>
      <c r="K115" s="5">
        <v>50.0</v>
      </c>
      <c r="L115" s="5">
        <v>40.0</v>
      </c>
      <c r="M115" s="5">
        <v>235.0</v>
      </c>
      <c r="N115" s="5" t="s">
        <v>964</v>
      </c>
      <c r="O115" s="5" t="s">
        <v>735</v>
      </c>
      <c r="P115" s="5" t="s">
        <v>793</v>
      </c>
      <c r="Q115" s="5" t="s">
        <v>734</v>
      </c>
      <c r="R115" s="5" t="s">
        <v>794</v>
      </c>
      <c r="S115" s="5">
        <v>6.0</v>
      </c>
      <c r="T115" s="5">
        <v>36.0</v>
      </c>
      <c r="U115" s="5">
        <v>18.0</v>
      </c>
      <c r="V115" s="5" t="s">
        <v>210</v>
      </c>
      <c r="W115" s="24" t="s">
        <v>738</v>
      </c>
      <c r="X115" s="4"/>
      <c r="Y115" s="4"/>
      <c r="Z115" s="4"/>
    </row>
    <row r="116" ht="14.25" customHeight="1">
      <c r="A116" s="22"/>
      <c r="B116" s="23" t="s">
        <v>988</v>
      </c>
      <c r="C116" s="5" t="s">
        <v>989</v>
      </c>
      <c r="D116" s="5" t="s">
        <v>963</v>
      </c>
      <c r="E116" s="5">
        <v>2.0</v>
      </c>
      <c r="F116" s="5">
        <v>22.0</v>
      </c>
      <c r="G116" s="5">
        <v>50000.0</v>
      </c>
      <c r="H116" s="5">
        <v>250.0</v>
      </c>
      <c r="I116" s="5">
        <f t="shared" si="2"/>
        <v>12.5</v>
      </c>
      <c r="J116" s="5">
        <v>1.0</v>
      </c>
      <c r="K116" s="5">
        <v>20.0</v>
      </c>
      <c r="L116" s="5">
        <v>76.0</v>
      </c>
      <c r="M116" s="5">
        <v>160.0</v>
      </c>
      <c r="N116" s="5" t="s">
        <v>964</v>
      </c>
      <c r="O116" s="5" t="s">
        <v>735</v>
      </c>
      <c r="P116" s="5" t="s">
        <v>736</v>
      </c>
      <c r="Q116" s="5" t="s">
        <v>734</v>
      </c>
      <c r="R116" s="5" t="s">
        <v>794</v>
      </c>
      <c r="S116" s="5">
        <v>6.0</v>
      </c>
      <c r="T116" s="5">
        <v>44.0</v>
      </c>
      <c r="U116" s="5">
        <v>18.0</v>
      </c>
      <c r="V116" s="5" t="s">
        <v>210</v>
      </c>
      <c r="W116" s="24" t="s">
        <v>738</v>
      </c>
      <c r="X116" s="4"/>
      <c r="Y116" s="4"/>
      <c r="Z116" s="4"/>
    </row>
    <row r="117" ht="14.25" customHeight="1">
      <c r="A117" s="22"/>
      <c r="B117" s="23" t="s">
        <v>990</v>
      </c>
      <c r="C117" s="5" t="s">
        <v>991</v>
      </c>
      <c r="D117" s="5" t="s">
        <v>963</v>
      </c>
      <c r="E117" s="5">
        <v>2.0</v>
      </c>
      <c r="F117" s="5">
        <v>22.0</v>
      </c>
      <c r="G117" s="5">
        <v>60000.0</v>
      </c>
      <c r="H117" s="5">
        <v>250.0</v>
      </c>
      <c r="I117" s="5">
        <f t="shared" si="2"/>
        <v>15</v>
      </c>
      <c r="J117" s="5">
        <v>1.0</v>
      </c>
      <c r="K117" s="5">
        <v>25.0</v>
      </c>
      <c r="L117" s="5">
        <v>76.0</v>
      </c>
      <c r="M117" s="5">
        <v>180.0</v>
      </c>
      <c r="N117" s="5" t="s">
        <v>964</v>
      </c>
      <c r="O117" s="5" t="s">
        <v>735</v>
      </c>
      <c r="P117" s="5" t="s">
        <v>736</v>
      </c>
      <c r="Q117" s="5" t="s">
        <v>734</v>
      </c>
      <c r="R117" s="5" t="s">
        <v>794</v>
      </c>
      <c r="S117" s="5">
        <v>6.0</v>
      </c>
      <c r="T117" s="5">
        <v>40.0</v>
      </c>
      <c r="U117" s="5">
        <v>18.0</v>
      </c>
      <c r="V117" s="5" t="s">
        <v>210</v>
      </c>
      <c r="W117" s="24" t="s">
        <v>738</v>
      </c>
      <c r="X117" s="4"/>
      <c r="Y117" s="4"/>
      <c r="Z117" s="4"/>
    </row>
    <row r="118" ht="14.25" customHeight="1">
      <c r="A118" s="22"/>
      <c r="B118" s="23" t="s">
        <v>992</v>
      </c>
      <c r="C118" s="5" t="s">
        <v>993</v>
      </c>
      <c r="D118" s="5" t="s">
        <v>963</v>
      </c>
      <c r="E118" s="5">
        <v>2.0</v>
      </c>
      <c r="F118" s="5">
        <v>22.0</v>
      </c>
      <c r="G118" s="5">
        <v>100000.0</v>
      </c>
      <c r="H118" s="5">
        <v>250.0</v>
      </c>
      <c r="I118" s="5">
        <f t="shared" si="2"/>
        <v>25</v>
      </c>
      <c r="J118" s="5">
        <v>1.0</v>
      </c>
      <c r="K118" s="5">
        <v>30.0</v>
      </c>
      <c r="L118" s="5">
        <v>76.0</v>
      </c>
      <c r="M118" s="5">
        <v>220.0</v>
      </c>
      <c r="N118" s="5" t="s">
        <v>964</v>
      </c>
      <c r="O118" s="5" t="s">
        <v>735</v>
      </c>
      <c r="P118" s="5" t="s">
        <v>736</v>
      </c>
      <c r="Q118" s="5" t="s">
        <v>734</v>
      </c>
      <c r="R118" s="5" t="s">
        <v>794</v>
      </c>
      <c r="S118" s="5">
        <v>6.0</v>
      </c>
      <c r="T118" s="5">
        <v>36.0</v>
      </c>
      <c r="U118" s="5">
        <v>18.0</v>
      </c>
      <c r="V118" s="5" t="s">
        <v>210</v>
      </c>
      <c r="W118" s="24" t="s">
        <v>738</v>
      </c>
      <c r="X118" s="4"/>
      <c r="Y118" s="4"/>
      <c r="Z118" s="4"/>
    </row>
    <row r="119" ht="14.25" customHeight="1">
      <c r="A119" s="22"/>
      <c r="B119" s="23" t="s">
        <v>994</v>
      </c>
      <c r="C119" s="5" t="s">
        <v>995</v>
      </c>
      <c r="D119" s="5" t="s">
        <v>963</v>
      </c>
      <c r="E119" s="5">
        <v>2.0</v>
      </c>
      <c r="F119" s="5">
        <v>20.0</v>
      </c>
      <c r="G119" s="5">
        <v>150000.0</v>
      </c>
      <c r="H119" s="5">
        <v>250.0</v>
      </c>
      <c r="I119" s="5">
        <f t="shared" si="2"/>
        <v>37.5</v>
      </c>
      <c r="J119" s="5">
        <v>1.0</v>
      </c>
      <c r="K119" s="5">
        <v>35.0</v>
      </c>
      <c r="L119" s="5">
        <v>76.0</v>
      </c>
      <c r="M119" s="5">
        <v>260.0</v>
      </c>
      <c r="N119" s="5" t="s">
        <v>964</v>
      </c>
      <c r="O119" s="5" t="s">
        <v>735</v>
      </c>
      <c r="P119" s="5" t="s">
        <v>736</v>
      </c>
      <c r="Q119" s="5" t="s">
        <v>734</v>
      </c>
      <c r="R119" s="5" t="s">
        <v>794</v>
      </c>
      <c r="S119" s="5">
        <v>6.0</v>
      </c>
      <c r="T119" s="5">
        <v>28.0</v>
      </c>
      <c r="U119" s="5">
        <v>18.0</v>
      </c>
      <c r="V119" s="5" t="s">
        <v>208</v>
      </c>
      <c r="W119" s="24" t="s">
        <v>738</v>
      </c>
      <c r="X119" s="4"/>
      <c r="Y119" s="4"/>
      <c r="Z119" s="4"/>
    </row>
    <row r="120" ht="14.25" customHeight="1">
      <c r="A120" s="25"/>
      <c r="B120" s="23" t="s">
        <v>996</v>
      </c>
      <c r="C120" s="5" t="s">
        <v>997</v>
      </c>
      <c r="D120" s="5" t="s">
        <v>963</v>
      </c>
      <c r="E120" s="5">
        <v>2.0</v>
      </c>
      <c r="F120" s="5">
        <v>20.0</v>
      </c>
      <c r="G120" s="5">
        <v>200000.0</v>
      </c>
      <c r="H120" s="5">
        <v>250.0</v>
      </c>
      <c r="I120" s="5">
        <f t="shared" si="2"/>
        <v>50</v>
      </c>
      <c r="J120" s="5">
        <v>1.0</v>
      </c>
      <c r="K120" s="5">
        <v>45.0</v>
      </c>
      <c r="L120" s="5">
        <v>76.0</v>
      </c>
      <c r="M120" s="5">
        <v>300.0</v>
      </c>
      <c r="N120" s="5" t="s">
        <v>964</v>
      </c>
      <c r="O120" s="5" t="s">
        <v>735</v>
      </c>
      <c r="P120" s="5" t="s">
        <v>736</v>
      </c>
      <c r="Q120" s="5" t="s">
        <v>734</v>
      </c>
      <c r="R120" s="5" t="s">
        <v>794</v>
      </c>
      <c r="S120" s="5">
        <v>6.0</v>
      </c>
      <c r="T120" s="5">
        <v>24.0</v>
      </c>
      <c r="U120" s="5">
        <v>18.0</v>
      </c>
      <c r="V120" s="5" t="s">
        <v>208</v>
      </c>
      <c r="W120" s="24" t="s">
        <v>738</v>
      </c>
      <c r="X120" s="4"/>
      <c r="Y120" s="4"/>
      <c r="Z120" s="4"/>
    </row>
    <row r="121" ht="15.0" customHeight="1">
      <c r="A121" s="40" t="s">
        <v>998</v>
      </c>
      <c r="B121" s="23" t="s">
        <v>999</v>
      </c>
      <c r="C121" s="5" t="s">
        <v>1000</v>
      </c>
      <c r="D121" s="5" t="s">
        <v>963</v>
      </c>
      <c r="E121" s="5">
        <v>1.0</v>
      </c>
      <c r="F121" s="5">
        <v>20.0</v>
      </c>
      <c r="G121" s="5">
        <v>500000.0</v>
      </c>
      <c r="H121" s="5">
        <v>240.0</v>
      </c>
      <c r="I121" s="5">
        <f t="shared" si="2"/>
        <v>120</v>
      </c>
      <c r="J121" s="5">
        <v>1.0</v>
      </c>
      <c r="K121" s="5">
        <v>80.0</v>
      </c>
      <c r="L121" s="5">
        <v>76.0</v>
      </c>
      <c r="M121" s="5">
        <v>350.0</v>
      </c>
      <c r="N121" s="5" t="s">
        <v>964</v>
      </c>
      <c r="O121" s="5" t="s">
        <v>735</v>
      </c>
      <c r="P121" s="5" t="s">
        <v>738</v>
      </c>
      <c r="Q121" s="5" t="s">
        <v>734</v>
      </c>
      <c r="R121" s="5" t="s">
        <v>738</v>
      </c>
      <c r="S121" s="5">
        <v>2.0</v>
      </c>
      <c r="T121" s="5">
        <v>20.0</v>
      </c>
      <c r="U121" s="5">
        <v>18.0</v>
      </c>
      <c r="V121" s="5" t="s">
        <v>208</v>
      </c>
      <c r="W121" s="24" t="s">
        <v>738</v>
      </c>
      <c r="X121" s="4"/>
      <c r="Y121" s="4"/>
      <c r="Z121" s="4"/>
    </row>
    <row r="122" ht="15.0" customHeight="1">
      <c r="A122" s="22"/>
      <c r="B122" s="23" t="s">
        <v>1001</v>
      </c>
      <c r="C122" s="5" t="s">
        <v>1002</v>
      </c>
      <c r="D122" s="5" t="s">
        <v>963</v>
      </c>
      <c r="E122" s="5">
        <v>1.0</v>
      </c>
      <c r="F122" s="5">
        <v>20.0</v>
      </c>
      <c r="G122" s="5">
        <v>700000.0</v>
      </c>
      <c r="H122" s="5">
        <v>240.0</v>
      </c>
      <c r="I122" s="5">
        <f t="shared" si="2"/>
        <v>168</v>
      </c>
      <c r="J122" s="5">
        <v>1.0</v>
      </c>
      <c r="K122" s="5">
        <v>100.0</v>
      </c>
      <c r="L122" s="5">
        <v>76.0</v>
      </c>
      <c r="M122" s="5">
        <v>400.0</v>
      </c>
      <c r="N122" s="5" t="s">
        <v>964</v>
      </c>
      <c r="O122" s="5" t="s">
        <v>735</v>
      </c>
      <c r="P122" s="5" t="s">
        <v>738</v>
      </c>
      <c r="Q122" s="5" t="s">
        <v>734</v>
      </c>
      <c r="R122" s="5" t="s">
        <v>738</v>
      </c>
      <c r="S122" s="5">
        <v>2.0</v>
      </c>
      <c r="T122" s="5">
        <v>16.0</v>
      </c>
      <c r="U122" s="5">
        <v>18.0</v>
      </c>
      <c r="V122" s="5" t="s">
        <v>208</v>
      </c>
      <c r="W122" s="24" t="s">
        <v>738</v>
      </c>
      <c r="X122" s="4"/>
      <c r="Y122" s="4"/>
      <c r="Z122" s="4"/>
    </row>
    <row r="123" ht="15.0" customHeight="1">
      <c r="A123" s="22"/>
      <c r="B123" s="23" t="s">
        <v>1003</v>
      </c>
      <c r="C123" s="5" t="s">
        <v>1004</v>
      </c>
      <c r="D123" s="5" t="s">
        <v>963</v>
      </c>
      <c r="E123" s="5">
        <v>1.0</v>
      </c>
      <c r="F123" s="5">
        <v>20.0</v>
      </c>
      <c r="G123" s="5">
        <v>1000000.0</v>
      </c>
      <c r="H123" s="5">
        <v>240.0</v>
      </c>
      <c r="I123" s="5">
        <f t="shared" si="2"/>
        <v>240</v>
      </c>
      <c r="J123" s="5">
        <v>1.0</v>
      </c>
      <c r="K123" s="5">
        <v>120.0</v>
      </c>
      <c r="L123" s="5">
        <v>76.0</v>
      </c>
      <c r="M123" s="5">
        <v>450.0</v>
      </c>
      <c r="N123" s="5" t="s">
        <v>964</v>
      </c>
      <c r="O123" s="5" t="s">
        <v>735</v>
      </c>
      <c r="P123" s="5" t="s">
        <v>738</v>
      </c>
      <c r="Q123" s="5" t="s">
        <v>734</v>
      </c>
      <c r="R123" s="5" t="s">
        <v>738</v>
      </c>
      <c r="S123" s="5">
        <v>2.0</v>
      </c>
      <c r="T123" s="5">
        <v>12.0</v>
      </c>
      <c r="U123" s="5">
        <v>18.0</v>
      </c>
      <c r="V123" s="5" t="s">
        <v>208</v>
      </c>
      <c r="W123" s="24" t="s">
        <v>738</v>
      </c>
      <c r="X123" s="4"/>
      <c r="Y123" s="4"/>
      <c r="Z123" s="4"/>
    </row>
    <row r="124" ht="15.0" customHeight="1">
      <c r="A124" s="22"/>
      <c r="B124" s="23" t="s">
        <v>1005</v>
      </c>
      <c r="C124" s="5" t="s">
        <v>1006</v>
      </c>
      <c r="D124" s="5" t="s">
        <v>963</v>
      </c>
      <c r="E124" s="5">
        <v>2.0</v>
      </c>
      <c r="F124" s="5">
        <v>20.0</v>
      </c>
      <c r="G124" s="5">
        <v>300000.0</v>
      </c>
      <c r="H124" s="5">
        <v>240.0</v>
      </c>
      <c r="I124" s="5">
        <f t="shared" si="2"/>
        <v>72</v>
      </c>
      <c r="J124" s="5">
        <v>1.0</v>
      </c>
      <c r="K124" s="5">
        <v>70.0</v>
      </c>
      <c r="L124" s="5">
        <v>76.0</v>
      </c>
      <c r="M124" s="5">
        <v>340.0</v>
      </c>
      <c r="N124" s="5" t="s">
        <v>964</v>
      </c>
      <c r="O124" s="5" t="s">
        <v>735</v>
      </c>
      <c r="P124" s="5" t="s">
        <v>793</v>
      </c>
      <c r="Q124" s="5" t="s">
        <v>734</v>
      </c>
      <c r="R124" s="5" t="s">
        <v>738</v>
      </c>
      <c r="S124" s="5">
        <v>2.0</v>
      </c>
      <c r="T124" s="5">
        <v>18.0</v>
      </c>
      <c r="U124" s="5">
        <v>18.0</v>
      </c>
      <c r="V124" s="5" t="s">
        <v>208</v>
      </c>
      <c r="W124" s="24" t="s">
        <v>738</v>
      </c>
      <c r="X124" s="4"/>
      <c r="Y124" s="4"/>
      <c r="Z124" s="4"/>
    </row>
    <row r="125" ht="15.0" customHeight="1">
      <c r="A125" s="22"/>
      <c r="B125" s="23" t="s">
        <v>1007</v>
      </c>
      <c r="C125" s="5" t="s">
        <v>1008</v>
      </c>
      <c r="D125" s="5" t="s">
        <v>963</v>
      </c>
      <c r="E125" s="5">
        <v>2.0</v>
      </c>
      <c r="F125" s="5">
        <v>20.0</v>
      </c>
      <c r="G125" s="5">
        <v>400000.0</v>
      </c>
      <c r="H125" s="5">
        <v>240.0</v>
      </c>
      <c r="I125" s="5">
        <f t="shared" si="2"/>
        <v>96</v>
      </c>
      <c r="J125" s="5">
        <v>1.0</v>
      </c>
      <c r="K125" s="5">
        <v>85.0</v>
      </c>
      <c r="L125" s="5">
        <v>76.0</v>
      </c>
      <c r="M125" s="5">
        <v>380.0</v>
      </c>
      <c r="N125" s="5" t="s">
        <v>964</v>
      </c>
      <c r="O125" s="5" t="s">
        <v>735</v>
      </c>
      <c r="P125" s="5" t="s">
        <v>793</v>
      </c>
      <c r="Q125" s="5" t="s">
        <v>734</v>
      </c>
      <c r="R125" s="5" t="s">
        <v>738</v>
      </c>
      <c r="S125" s="5">
        <v>2.0</v>
      </c>
      <c r="T125" s="5">
        <v>14.0</v>
      </c>
      <c r="U125" s="5">
        <v>18.0</v>
      </c>
      <c r="V125" s="5" t="s">
        <v>208</v>
      </c>
      <c r="W125" s="24" t="s">
        <v>738</v>
      </c>
      <c r="X125" s="4"/>
      <c r="Y125" s="4"/>
      <c r="Z125" s="4"/>
    </row>
    <row r="126" ht="15.0" customHeight="1">
      <c r="A126" s="25"/>
      <c r="B126" s="23" t="s">
        <v>1009</v>
      </c>
      <c r="C126" s="5" t="s">
        <v>1010</v>
      </c>
      <c r="D126" s="5" t="s">
        <v>963</v>
      </c>
      <c r="E126" s="5">
        <v>2.0</v>
      </c>
      <c r="F126" s="5">
        <v>20.0</v>
      </c>
      <c r="G126" s="5">
        <v>500000.0</v>
      </c>
      <c r="H126" s="5">
        <v>240.0</v>
      </c>
      <c r="I126" s="5">
        <f t="shared" si="2"/>
        <v>120</v>
      </c>
      <c r="J126" s="5">
        <v>1.0</v>
      </c>
      <c r="K126" s="5">
        <v>100.0</v>
      </c>
      <c r="L126" s="5">
        <v>76.0</v>
      </c>
      <c r="M126" s="5">
        <v>420.0</v>
      </c>
      <c r="N126" s="5" t="s">
        <v>964</v>
      </c>
      <c r="O126" s="5" t="s">
        <v>735</v>
      </c>
      <c r="P126" s="5" t="s">
        <v>793</v>
      </c>
      <c r="Q126" s="5" t="s">
        <v>734</v>
      </c>
      <c r="R126" s="5" t="s">
        <v>738</v>
      </c>
      <c r="S126" s="5">
        <v>2.0</v>
      </c>
      <c r="T126" s="5">
        <v>12.0</v>
      </c>
      <c r="U126" s="5">
        <v>18.0</v>
      </c>
      <c r="V126" s="5" t="s">
        <v>208</v>
      </c>
      <c r="W126" s="24" t="s">
        <v>738</v>
      </c>
      <c r="X126" s="4"/>
      <c r="Y126" s="4"/>
      <c r="Z126" s="4"/>
    </row>
    <row r="127" ht="15.0" customHeight="1">
      <c r="A127" s="40" t="s">
        <v>1011</v>
      </c>
      <c r="B127" s="23" t="s">
        <v>1012</v>
      </c>
      <c r="C127" s="5" t="s">
        <v>1013</v>
      </c>
      <c r="D127" s="5" t="s">
        <v>963</v>
      </c>
      <c r="E127" s="5">
        <v>1.0</v>
      </c>
      <c r="F127" s="5">
        <v>22.0</v>
      </c>
      <c r="G127" s="5">
        <v>150000.0</v>
      </c>
      <c r="H127" s="5">
        <v>200.0</v>
      </c>
      <c r="I127" s="5">
        <f t="shared" si="2"/>
        <v>30</v>
      </c>
      <c r="J127" s="5">
        <v>1.0</v>
      </c>
      <c r="K127" s="5">
        <v>30.0</v>
      </c>
      <c r="L127" s="5">
        <v>76.0</v>
      </c>
      <c r="M127" s="5">
        <v>210.0</v>
      </c>
      <c r="N127" s="5" t="s">
        <v>964</v>
      </c>
      <c r="O127" s="5" t="s">
        <v>823</v>
      </c>
      <c r="P127" s="5" t="s">
        <v>793</v>
      </c>
      <c r="Q127" s="5" t="s">
        <v>734</v>
      </c>
      <c r="R127" s="5" t="s">
        <v>794</v>
      </c>
      <c r="S127" s="5">
        <v>6.0</v>
      </c>
      <c r="T127" s="5">
        <v>36.0</v>
      </c>
      <c r="U127" s="5">
        <v>18.0</v>
      </c>
      <c r="V127" s="41" t="s">
        <v>230</v>
      </c>
      <c r="W127" s="24" t="s">
        <v>825</v>
      </c>
      <c r="X127" s="4"/>
      <c r="Y127" s="4"/>
      <c r="Z127" s="4"/>
    </row>
    <row r="128" ht="15.0" customHeight="1">
      <c r="A128" s="22"/>
      <c r="B128" s="23" t="s">
        <v>1014</v>
      </c>
      <c r="C128" s="5" t="s">
        <v>1015</v>
      </c>
      <c r="D128" s="5" t="s">
        <v>963</v>
      </c>
      <c r="E128" s="5">
        <v>1.0</v>
      </c>
      <c r="F128" s="5">
        <v>22.0</v>
      </c>
      <c r="G128" s="5">
        <v>200000.0</v>
      </c>
      <c r="H128" s="5">
        <v>200.0</v>
      </c>
      <c r="I128" s="5">
        <f t="shared" si="2"/>
        <v>40</v>
      </c>
      <c r="J128" s="5">
        <v>1.0</v>
      </c>
      <c r="K128" s="5">
        <v>35.0</v>
      </c>
      <c r="L128" s="5">
        <v>76.0</v>
      </c>
      <c r="M128" s="5">
        <v>240.0</v>
      </c>
      <c r="N128" s="5" t="s">
        <v>964</v>
      </c>
      <c r="O128" s="5" t="s">
        <v>823</v>
      </c>
      <c r="P128" s="5" t="s">
        <v>793</v>
      </c>
      <c r="Q128" s="5" t="s">
        <v>734</v>
      </c>
      <c r="R128" s="5" t="s">
        <v>794</v>
      </c>
      <c r="S128" s="5">
        <v>6.0</v>
      </c>
      <c r="T128" s="5">
        <v>32.0</v>
      </c>
      <c r="U128" s="5">
        <v>18.0</v>
      </c>
      <c r="V128" s="41" t="s">
        <v>230</v>
      </c>
      <c r="W128" s="24" t="s">
        <v>825</v>
      </c>
      <c r="X128" s="4"/>
      <c r="Y128" s="4"/>
      <c r="Z128" s="4"/>
    </row>
    <row r="129" ht="15.0" customHeight="1">
      <c r="A129" s="22"/>
      <c r="B129" s="23" t="s">
        <v>1016</v>
      </c>
      <c r="C129" s="5" t="s">
        <v>1017</v>
      </c>
      <c r="D129" s="5" t="s">
        <v>963</v>
      </c>
      <c r="E129" s="5">
        <v>2.0</v>
      </c>
      <c r="F129" s="5">
        <v>20.0</v>
      </c>
      <c r="G129" s="5">
        <v>100000.0</v>
      </c>
      <c r="H129" s="5">
        <v>250.0</v>
      </c>
      <c r="I129" s="5">
        <f t="shared" si="2"/>
        <v>25</v>
      </c>
      <c r="J129" s="5">
        <v>1.0</v>
      </c>
      <c r="K129" s="5">
        <v>30.0</v>
      </c>
      <c r="L129" s="5">
        <v>76.0</v>
      </c>
      <c r="M129" s="5">
        <v>220.0</v>
      </c>
      <c r="N129" s="5" t="s">
        <v>964</v>
      </c>
      <c r="O129" s="5" t="s">
        <v>823</v>
      </c>
      <c r="P129" s="5" t="s">
        <v>736</v>
      </c>
      <c r="Q129" s="5" t="s">
        <v>734</v>
      </c>
      <c r="R129" s="5" t="s">
        <v>794</v>
      </c>
      <c r="S129" s="5">
        <v>6.0</v>
      </c>
      <c r="T129" s="5">
        <v>36.0</v>
      </c>
      <c r="U129" s="5">
        <v>18.0</v>
      </c>
      <c r="V129" s="5" t="s">
        <v>428</v>
      </c>
      <c r="W129" s="24" t="s">
        <v>825</v>
      </c>
      <c r="X129" s="4"/>
      <c r="Y129" s="4"/>
      <c r="Z129" s="4"/>
    </row>
    <row r="130" ht="15.0" customHeight="1">
      <c r="A130" s="25"/>
      <c r="B130" s="23" t="s">
        <v>1018</v>
      </c>
      <c r="C130" s="5" t="s">
        <v>1019</v>
      </c>
      <c r="D130" s="5" t="s">
        <v>963</v>
      </c>
      <c r="E130" s="5">
        <v>2.0</v>
      </c>
      <c r="F130" s="5">
        <v>20.0</v>
      </c>
      <c r="G130" s="5">
        <v>150000.0</v>
      </c>
      <c r="H130" s="5">
        <v>250.0</v>
      </c>
      <c r="I130" s="5">
        <f t="shared" si="2"/>
        <v>37.5</v>
      </c>
      <c r="J130" s="5">
        <v>1.0</v>
      </c>
      <c r="K130" s="5">
        <v>35.0</v>
      </c>
      <c r="L130" s="5">
        <v>76.0</v>
      </c>
      <c r="M130" s="5">
        <v>260.0</v>
      </c>
      <c r="N130" s="5" t="s">
        <v>964</v>
      </c>
      <c r="O130" s="5" t="s">
        <v>823</v>
      </c>
      <c r="P130" s="5" t="s">
        <v>736</v>
      </c>
      <c r="Q130" s="5" t="s">
        <v>734</v>
      </c>
      <c r="R130" s="5" t="s">
        <v>794</v>
      </c>
      <c r="S130" s="5">
        <v>6.0</v>
      </c>
      <c r="T130" s="5">
        <v>28.0</v>
      </c>
      <c r="U130" s="5">
        <v>18.0</v>
      </c>
      <c r="V130" s="5" t="s">
        <v>428</v>
      </c>
      <c r="W130" s="24" t="s">
        <v>825</v>
      </c>
      <c r="X130" s="4"/>
      <c r="Y130" s="4"/>
      <c r="Z130" s="4"/>
    </row>
    <row r="131" ht="15.0" customHeight="1">
      <c r="A131" s="40" t="s">
        <v>1020</v>
      </c>
      <c r="B131" s="23" t="s">
        <v>1021</v>
      </c>
      <c r="C131" s="5" t="s">
        <v>1022</v>
      </c>
      <c r="D131" s="5" t="s">
        <v>963</v>
      </c>
      <c r="E131" s="5">
        <v>1.0</v>
      </c>
      <c r="F131" s="5">
        <v>22.0</v>
      </c>
      <c r="G131" s="5">
        <v>200000.0</v>
      </c>
      <c r="H131" s="5">
        <v>200.0</v>
      </c>
      <c r="I131" s="5">
        <f t="shared" si="2"/>
        <v>40</v>
      </c>
      <c r="J131" s="5">
        <v>1.0</v>
      </c>
      <c r="K131" s="5">
        <v>35.0</v>
      </c>
      <c r="L131" s="5">
        <v>76.0</v>
      </c>
      <c r="M131" s="5">
        <v>240.0</v>
      </c>
      <c r="N131" s="5" t="s">
        <v>964</v>
      </c>
      <c r="O131" s="5" t="s">
        <v>735</v>
      </c>
      <c r="P131" s="5" t="s">
        <v>738</v>
      </c>
      <c r="Q131" s="5" t="s">
        <v>734</v>
      </c>
      <c r="R131" s="5" t="s">
        <v>794</v>
      </c>
      <c r="S131" s="5">
        <v>6.0</v>
      </c>
      <c r="T131" s="5">
        <v>32.0</v>
      </c>
      <c r="U131" s="5">
        <v>18.0</v>
      </c>
      <c r="V131" s="5" t="s">
        <v>185</v>
      </c>
      <c r="W131" s="24" t="s">
        <v>738</v>
      </c>
      <c r="X131" s="4"/>
      <c r="Y131" s="4"/>
      <c r="Z131" s="4"/>
    </row>
    <row r="132" ht="15.0" customHeight="1">
      <c r="A132" s="22"/>
      <c r="B132" s="23" t="s">
        <v>1023</v>
      </c>
      <c r="C132" s="5" t="s">
        <v>1024</v>
      </c>
      <c r="D132" s="5" t="s">
        <v>963</v>
      </c>
      <c r="E132" s="5">
        <v>1.0</v>
      </c>
      <c r="F132" s="5">
        <v>22.0</v>
      </c>
      <c r="G132" s="5">
        <v>300000.0</v>
      </c>
      <c r="H132" s="5">
        <v>200.0</v>
      </c>
      <c r="I132" s="5">
        <f t="shared" si="2"/>
        <v>60</v>
      </c>
      <c r="J132" s="5">
        <v>1.0</v>
      </c>
      <c r="K132" s="5">
        <v>45.0</v>
      </c>
      <c r="L132" s="5">
        <v>76.0</v>
      </c>
      <c r="M132" s="5">
        <v>290.0</v>
      </c>
      <c r="N132" s="5" t="s">
        <v>964</v>
      </c>
      <c r="O132" s="5" t="s">
        <v>735</v>
      </c>
      <c r="P132" s="5" t="s">
        <v>738</v>
      </c>
      <c r="Q132" s="5" t="s">
        <v>734</v>
      </c>
      <c r="R132" s="5" t="s">
        <v>794</v>
      </c>
      <c r="S132" s="5">
        <v>6.0</v>
      </c>
      <c r="T132" s="5">
        <v>24.0</v>
      </c>
      <c r="U132" s="5">
        <v>18.0</v>
      </c>
      <c r="V132" s="5" t="s">
        <v>185</v>
      </c>
      <c r="W132" s="24" t="s">
        <v>738</v>
      </c>
      <c r="X132" s="4"/>
      <c r="Y132" s="4"/>
      <c r="Z132" s="4"/>
    </row>
    <row r="133" ht="15.0" customHeight="1">
      <c r="A133" s="22"/>
      <c r="B133" s="23" t="s">
        <v>1025</v>
      </c>
      <c r="C133" s="5" t="s">
        <v>1026</v>
      </c>
      <c r="D133" s="5" t="s">
        <v>963</v>
      </c>
      <c r="E133" s="5">
        <v>1.0</v>
      </c>
      <c r="F133" s="5">
        <v>22.0</v>
      </c>
      <c r="G133" s="5">
        <v>200000.0</v>
      </c>
      <c r="H133" s="5">
        <v>210.0</v>
      </c>
      <c r="I133" s="5">
        <f t="shared" si="2"/>
        <v>42</v>
      </c>
      <c r="J133" s="5">
        <v>1.0</v>
      </c>
      <c r="K133" s="5">
        <v>40.0</v>
      </c>
      <c r="L133" s="5">
        <v>40.0</v>
      </c>
      <c r="M133" s="5">
        <v>195.0</v>
      </c>
      <c r="N133" s="5" t="s">
        <v>964</v>
      </c>
      <c r="O133" s="5" t="s">
        <v>735</v>
      </c>
      <c r="P133" s="5" t="s">
        <v>738</v>
      </c>
      <c r="Q133" s="5" t="s">
        <v>734</v>
      </c>
      <c r="R133" s="5" t="s">
        <v>794</v>
      </c>
      <c r="S133" s="5">
        <v>6.0</v>
      </c>
      <c r="T133" s="5">
        <v>40.0</v>
      </c>
      <c r="U133" s="5">
        <v>18.0</v>
      </c>
      <c r="V133" s="5" t="s">
        <v>185</v>
      </c>
      <c r="W133" s="24" t="s">
        <v>738</v>
      </c>
      <c r="X133" s="4"/>
      <c r="Y133" s="4"/>
      <c r="Z133" s="4"/>
    </row>
    <row r="134" ht="15.0" customHeight="1">
      <c r="A134" s="25"/>
      <c r="B134" s="23" t="s">
        <v>1027</v>
      </c>
      <c r="C134" s="5" t="s">
        <v>1028</v>
      </c>
      <c r="D134" s="5" t="s">
        <v>963</v>
      </c>
      <c r="E134" s="5">
        <v>1.0</v>
      </c>
      <c r="F134" s="5">
        <v>20.0</v>
      </c>
      <c r="G134" s="5">
        <v>500000.0</v>
      </c>
      <c r="H134" s="5">
        <v>240.0</v>
      </c>
      <c r="I134" s="5">
        <f t="shared" si="2"/>
        <v>120</v>
      </c>
      <c r="J134" s="5">
        <v>1.0</v>
      </c>
      <c r="K134" s="5">
        <v>80.0</v>
      </c>
      <c r="L134" s="5">
        <v>76.0</v>
      </c>
      <c r="M134" s="5">
        <v>350.0</v>
      </c>
      <c r="N134" s="5" t="s">
        <v>964</v>
      </c>
      <c r="O134" s="5" t="s">
        <v>735</v>
      </c>
      <c r="P134" s="5" t="s">
        <v>738</v>
      </c>
      <c r="Q134" s="5" t="s">
        <v>734</v>
      </c>
      <c r="R134" s="5" t="s">
        <v>738</v>
      </c>
      <c r="S134" s="5">
        <v>2.0</v>
      </c>
      <c r="T134" s="5">
        <v>20.0</v>
      </c>
      <c r="U134" s="5">
        <v>18.0</v>
      </c>
      <c r="V134" s="5" t="s">
        <v>184</v>
      </c>
      <c r="W134" s="24" t="s">
        <v>738</v>
      </c>
      <c r="X134" s="4"/>
      <c r="Y134" s="4"/>
      <c r="Z134" s="4"/>
    </row>
    <row r="135" ht="14.25" customHeight="1">
      <c r="A135" s="40" t="s">
        <v>1029</v>
      </c>
      <c r="B135" s="23" t="s">
        <v>1030</v>
      </c>
      <c r="C135" s="5" t="s">
        <v>1031</v>
      </c>
      <c r="D135" s="5" t="s">
        <v>963</v>
      </c>
      <c r="E135" s="5">
        <v>2.0</v>
      </c>
      <c r="F135" s="5">
        <v>22.0</v>
      </c>
      <c r="G135" s="5">
        <v>230.0</v>
      </c>
      <c r="H135" s="5">
        <v>230.0</v>
      </c>
      <c r="I135" s="5">
        <f t="shared" si="2"/>
        <v>0.0529</v>
      </c>
      <c r="J135" s="5">
        <v>50.0</v>
      </c>
      <c r="K135" s="5">
        <v>15.0</v>
      </c>
      <c r="L135" s="5">
        <v>40.0</v>
      </c>
      <c r="M135" s="5">
        <v>100.0</v>
      </c>
      <c r="N135" s="5" t="s">
        <v>964</v>
      </c>
      <c r="O135" s="5" t="s">
        <v>735</v>
      </c>
      <c r="P135" s="5" t="s">
        <v>736</v>
      </c>
      <c r="Q135" s="5" t="s">
        <v>734</v>
      </c>
      <c r="R135" s="5" t="s">
        <v>737</v>
      </c>
      <c r="S135" s="5">
        <v>24.0</v>
      </c>
      <c r="T135" s="5">
        <v>60.0</v>
      </c>
      <c r="U135" s="5">
        <v>20.0</v>
      </c>
      <c r="V135" s="5" t="s">
        <v>210</v>
      </c>
      <c r="W135" s="24" t="s">
        <v>738</v>
      </c>
      <c r="X135" s="4"/>
      <c r="Y135" s="4"/>
      <c r="Z135" s="4"/>
    </row>
    <row r="136" ht="15.0" customHeight="1">
      <c r="A136" s="22"/>
      <c r="B136" s="23" t="s">
        <v>1032</v>
      </c>
      <c r="C136" s="5" t="s">
        <v>1033</v>
      </c>
      <c r="D136" s="5" t="s">
        <v>963</v>
      </c>
      <c r="E136" s="5">
        <v>2.0</v>
      </c>
      <c r="F136" s="5">
        <v>22.0</v>
      </c>
      <c r="G136" s="5">
        <v>230.0</v>
      </c>
      <c r="H136" s="5">
        <v>230.0</v>
      </c>
      <c r="I136" s="5">
        <f t="shared" si="2"/>
        <v>0.0529</v>
      </c>
      <c r="J136" s="5">
        <v>70.0</v>
      </c>
      <c r="K136" s="5">
        <v>18.0</v>
      </c>
      <c r="L136" s="5">
        <v>40.0</v>
      </c>
      <c r="M136" s="5">
        <v>115.0</v>
      </c>
      <c r="N136" s="5" t="s">
        <v>964</v>
      </c>
      <c r="O136" s="5" t="s">
        <v>735</v>
      </c>
      <c r="P136" s="5" t="s">
        <v>736</v>
      </c>
      <c r="Q136" s="5" t="s">
        <v>734</v>
      </c>
      <c r="R136" s="5" t="s">
        <v>737</v>
      </c>
      <c r="S136" s="5">
        <v>20.0</v>
      </c>
      <c r="T136" s="5">
        <v>56.0</v>
      </c>
      <c r="U136" s="5">
        <v>20.0</v>
      </c>
      <c r="V136" s="5" t="s">
        <v>210</v>
      </c>
      <c r="W136" s="24" t="s">
        <v>738</v>
      </c>
      <c r="X136" s="4"/>
      <c r="Y136" s="4"/>
      <c r="Z136" s="4"/>
    </row>
    <row r="137" ht="14.25" customHeight="1">
      <c r="A137" s="22"/>
      <c r="B137" s="23" t="s">
        <v>1034</v>
      </c>
      <c r="C137" s="5" t="s">
        <v>1035</v>
      </c>
      <c r="D137" s="5" t="s">
        <v>963</v>
      </c>
      <c r="E137" s="5">
        <v>2.0</v>
      </c>
      <c r="F137" s="5">
        <v>22.0</v>
      </c>
      <c r="G137" s="5">
        <v>230.0</v>
      </c>
      <c r="H137" s="5">
        <v>230.0</v>
      </c>
      <c r="I137" s="5">
        <f t="shared" si="2"/>
        <v>0.0529</v>
      </c>
      <c r="J137" s="5">
        <v>100.0</v>
      </c>
      <c r="K137" s="5">
        <v>20.0</v>
      </c>
      <c r="L137" s="5">
        <v>40.0</v>
      </c>
      <c r="M137" s="5">
        <v>135.0</v>
      </c>
      <c r="N137" s="5" t="s">
        <v>964</v>
      </c>
      <c r="O137" s="5" t="s">
        <v>735</v>
      </c>
      <c r="P137" s="5" t="s">
        <v>736</v>
      </c>
      <c r="Q137" s="5" t="s">
        <v>734</v>
      </c>
      <c r="R137" s="5" t="s">
        <v>737</v>
      </c>
      <c r="S137" s="5">
        <v>16.0</v>
      </c>
      <c r="T137" s="5">
        <v>52.0</v>
      </c>
      <c r="U137" s="5">
        <v>20.0</v>
      </c>
      <c r="V137" s="5" t="s">
        <v>210</v>
      </c>
      <c r="W137" s="24" t="s">
        <v>738</v>
      </c>
      <c r="X137" s="4"/>
      <c r="Y137" s="4"/>
      <c r="Z137" s="4"/>
    </row>
    <row r="138" ht="15.0" customHeight="1">
      <c r="A138" s="22"/>
      <c r="B138" s="23" t="s">
        <v>1036</v>
      </c>
      <c r="C138" s="5" t="s">
        <v>1037</v>
      </c>
      <c r="D138" s="5" t="s">
        <v>963</v>
      </c>
      <c r="E138" s="5">
        <v>2.0</v>
      </c>
      <c r="F138" s="5">
        <v>22.0</v>
      </c>
      <c r="G138" s="5">
        <v>230.0</v>
      </c>
      <c r="H138" s="5">
        <v>230.0</v>
      </c>
      <c r="I138" s="5">
        <f t="shared" si="2"/>
        <v>0.0529</v>
      </c>
      <c r="J138" s="5">
        <v>120.0</v>
      </c>
      <c r="K138" s="5">
        <v>22.0</v>
      </c>
      <c r="L138" s="5">
        <v>40.0</v>
      </c>
      <c r="M138" s="5">
        <v>150.0</v>
      </c>
      <c r="N138" s="5" t="s">
        <v>964</v>
      </c>
      <c r="O138" s="5" t="s">
        <v>735</v>
      </c>
      <c r="P138" s="5" t="s">
        <v>736</v>
      </c>
      <c r="Q138" s="5" t="s">
        <v>734</v>
      </c>
      <c r="R138" s="5" t="s">
        <v>737</v>
      </c>
      <c r="S138" s="5">
        <v>12.0</v>
      </c>
      <c r="T138" s="5">
        <v>48.0</v>
      </c>
      <c r="U138" s="5">
        <v>20.0</v>
      </c>
      <c r="V138" s="5" t="s">
        <v>210</v>
      </c>
      <c r="W138" s="24" t="s">
        <v>738</v>
      </c>
      <c r="X138" s="4"/>
      <c r="Y138" s="4"/>
      <c r="Z138" s="4"/>
    </row>
    <row r="139" ht="15.0" customHeight="1">
      <c r="A139" s="22"/>
      <c r="B139" s="23" t="s">
        <v>1038</v>
      </c>
      <c r="C139" s="5" t="s">
        <v>1039</v>
      </c>
      <c r="D139" s="5" t="s">
        <v>963</v>
      </c>
      <c r="E139" s="5">
        <v>2.0</v>
      </c>
      <c r="F139" s="5">
        <v>22.0</v>
      </c>
      <c r="G139" s="5">
        <v>230.0</v>
      </c>
      <c r="H139" s="5">
        <v>230.0</v>
      </c>
      <c r="I139" s="5">
        <f t="shared" si="2"/>
        <v>0.0529</v>
      </c>
      <c r="J139" s="5">
        <v>150.0</v>
      </c>
      <c r="K139" s="5">
        <v>25.0</v>
      </c>
      <c r="L139" s="5">
        <v>40.0</v>
      </c>
      <c r="M139" s="5">
        <v>165.0</v>
      </c>
      <c r="N139" s="5" t="s">
        <v>964</v>
      </c>
      <c r="O139" s="5" t="s">
        <v>735</v>
      </c>
      <c r="P139" s="5" t="s">
        <v>736</v>
      </c>
      <c r="Q139" s="5" t="s">
        <v>734</v>
      </c>
      <c r="R139" s="5" t="s">
        <v>737</v>
      </c>
      <c r="S139" s="5">
        <v>10.0</v>
      </c>
      <c r="T139" s="5">
        <v>44.0</v>
      </c>
      <c r="U139" s="5">
        <v>20.0</v>
      </c>
      <c r="V139" s="5" t="s">
        <v>210</v>
      </c>
      <c r="W139" s="24" t="s">
        <v>738</v>
      </c>
      <c r="X139" s="4"/>
      <c r="Y139" s="4"/>
      <c r="Z139" s="4"/>
    </row>
    <row r="140" ht="15.0" customHeight="1">
      <c r="A140" s="25"/>
      <c r="B140" s="23" t="s">
        <v>1040</v>
      </c>
      <c r="C140" s="5" t="s">
        <v>1041</v>
      </c>
      <c r="D140" s="5" t="s">
        <v>963</v>
      </c>
      <c r="E140" s="5">
        <v>2.0</v>
      </c>
      <c r="F140" s="5">
        <v>22.0</v>
      </c>
      <c r="G140" s="5">
        <v>230.0</v>
      </c>
      <c r="H140" s="5">
        <v>230.0</v>
      </c>
      <c r="I140" s="5">
        <f t="shared" si="2"/>
        <v>0.0529</v>
      </c>
      <c r="J140" s="5">
        <v>200.0</v>
      </c>
      <c r="K140" s="5">
        <v>28.0</v>
      </c>
      <c r="L140" s="5">
        <v>40.0</v>
      </c>
      <c r="M140" s="5">
        <v>185.0</v>
      </c>
      <c r="N140" s="5" t="s">
        <v>964</v>
      </c>
      <c r="O140" s="5" t="s">
        <v>735</v>
      </c>
      <c r="P140" s="5" t="s">
        <v>736</v>
      </c>
      <c r="Q140" s="5" t="s">
        <v>734</v>
      </c>
      <c r="R140" s="5" t="s">
        <v>737</v>
      </c>
      <c r="S140" s="5">
        <v>8.0</v>
      </c>
      <c r="T140" s="5">
        <v>40.0</v>
      </c>
      <c r="U140" s="5">
        <v>20.0</v>
      </c>
      <c r="V140" s="5" t="s">
        <v>210</v>
      </c>
      <c r="W140" s="24" t="s">
        <v>738</v>
      </c>
      <c r="X140" s="4"/>
      <c r="Y140" s="4"/>
      <c r="Z140" s="4"/>
    </row>
    <row r="141" ht="14.25" customHeight="1">
      <c r="A141" s="40" t="s">
        <v>1042</v>
      </c>
      <c r="B141" s="23" t="s">
        <v>1043</v>
      </c>
      <c r="C141" s="5" t="s">
        <v>1044</v>
      </c>
      <c r="D141" s="5" t="s">
        <v>963</v>
      </c>
      <c r="E141" s="5">
        <v>2.0</v>
      </c>
      <c r="F141" s="5">
        <v>22.0</v>
      </c>
      <c r="G141" s="5">
        <v>230.0</v>
      </c>
      <c r="H141" s="5">
        <v>230.0</v>
      </c>
      <c r="I141" s="5">
        <f t="shared" si="2"/>
        <v>0.0529</v>
      </c>
      <c r="J141" s="5">
        <v>50.0</v>
      </c>
      <c r="K141" s="5">
        <v>15.0</v>
      </c>
      <c r="L141" s="5">
        <v>40.0</v>
      </c>
      <c r="M141" s="5">
        <v>105.0</v>
      </c>
      <c r="N141" s="5" t="s">
        <v>964</v>
      </c>
      <c r="O141" s="5" t="s">
        <v>735</v>
      </c>
      <c r="P141" s="5" t="s">
        <v>766</v>
      </c>
      <c r="Q141" s="5" t="s">
        <v>734</v>
      </c>
      <c r="R141" s="5" t="s">
        <v>737</v>
      </c>
      <c r="S141" s="5">
        <v>24.0</v>
      </c>
      <c r="T141" s="5">
        <v>56.0</v>
      </c>
      <c r="U141" s="5">
        <v>20.0</v>
      </c>
      <c r="V141" s="5" t="s">
        <v>412</v>
      </c>
      <c r="W141" s="24" t="s">
        <v>738</v>
      </c>
      <c r="X141" s="4"/>
      <c r="Y141" s="4"/>
      <c r="Z141" s="4"/>
    </row>
    <row r="142" ht="15.0" customHeight="1">
      <c r="A142" s="22"/>
      <c r="B142" s="23" t="s">
        <v>1045</v>
      </c>
      <c r="C142" s="5" t="s">
        <v>1046</v>
      </c>
      <c r="D142" s="5" t="s">
        <v>963</v>
      </c>
      <c r="E142" s="5">
        <v>2.0</v>
      </c>
      <c r="F142" s="5">
        <v>22.0</v>
      </c>
      <c r="G142" s="5">
        <v>230.0</v>
      </c>
      <c r="H142" s="5">
        <v>230.0</v>
      </c>
      <c r="I142" s="5">
        <f t="shared" si="2"/>
        <v>0.0529</v>
      </c>
      <c r="J142" s="5">
        <v>70.0</v>
      </c>
      <c r="K142" s="5">
        <v>18.0</v>
      </c>
      <c r="L142" s="5">
        <v>40.0</v>
      </c>
      <c r="M142" s="5">
        <v>120.0</v>
      </c>
      <c r="N142" s="5" t="s">
        <v>964</v>
      </c>
      <c r="O142" s="5" t="s">
        <v>735</v>
      </c>
      <c r="P142" s="5" t="s">
        <v>766</v>
      </c>
      <c r="Q142" s="5" t="s">
        <v>734</v>
      </c>
      <c r="R142" s="5" t="s">
        <v>737</v>
      </c>
      <c r="S142" s="5">
        <v>20.0</v>
      </c>
      <c r="T142" s="5">
        <v>52.0</v>
      </c>
      <c r="U142" s="5">
        <v>20.0</v>
      </c>
      <c r="V142" s="5" t="s">
        <v>412</v>
      </c>
      <c r="W142" s="24" t="s">
        <v>738</v>
      </c>
      <c r="X142" s="4"/>
      <c r="Y142" s="4"/>
      <c r="Z142" s="4"/>
    </row>
    <row r="143" ht="14.25" customHeight="1">
      <c r="A143" s="22"/>
      <c r="B143" s="23" t="s">
        <v>975</v>
      </c>
      <c r="C143" s="5" t="s">
        <v>1047</v>
      </c>
      <c r="D143" s="5" t="s">
        <v>963</v>
      </c>
      <c r="E143" s="5">
        <v>2.0</v>
      </c>
      <c r="F143" s="5">
        <v>22.0</v>
      </c>
      <c r="G143" s="5">
        <v>230.0</v>
      </c>
      <c r="H143" s="5">
        <v>230.0</v>
      </c>
      <c r="I143" s="5">
        <f t="shared" si="2"/>
        <v>0.0529</v>
      </c>
      <c r="J143" s="5">
        <v>100.0</v>
      </c>
      <c r="K143" s="5">
        <v>20.0</v>
      </c>
      <c r="L143" s="5">
        <v>40.0</v>
      </c>
      <c r="M143" s="5">
        <v>140.0</v>
      </c>
      <c r="N143" s="5" t="s">
        <v>964</v>
      </c>
      <c r="O143" s="5" t="s">
        <v>735</v>
      </c>
      <c r="P143" s="5" t="s">
        <v>766</v>
      </c>
      <c r="Q143" s="5" t="s">
        <v>734</v>
      </c>
      <c r="R143" s="5" t="s">
        <v>737</v>
      </c>
      <c r="S143" s="5">
        <v>16.0</v>
      </c>
      <c r="T143" s="5">
        <v>48.0</v>
      </c>
      <c r="U143" s="5">
        <v>20.0</v>
      </c>
      <c r="V143" s="5" t="s">
        <v>412</v>
      </c>
      <c r="W143" s="24" t="s">
        <v>738</v>
      </c>
      <c r="X143" s="4"/>
      <c r="Y143" s="4"/>
      <c r="Z143" s="4"/>
    </row>
    <row r="144" ht="15.0" customHeight="1">
      <c r="A144" s="22"/>
      <c r="B144" s="23" t="s">
        <v>1048</v>
      </c>
      <c r="C144" s="5" t="s">
        <v>1049</v>
      </c>
      <c r="D144" s="5" t="s">
        <v>963</v>
      </c>
      <c r="E144" s="5">
        <v>3.0</v>
      </c>
      <c r="F144" s="5">
        <v>20.0</v>
      </c>
      <c r="G144" s="5">
        <v>230.0</v>
      </c>
      <c r="H144" s="5">
        <v>230.0</v>
      </c>
      <c r="I144" s="5">
        <f t="shared" si="2"/>
        <v>0.0529</v>
      </c>
      <c r="J144" s="5">
        <v>50.0</v>
      </c>
      <c r="K144" s="5">
        <v>15.0</v>
      </c>
      <c r="L144" s="5">
        <v>40.0</v>
      </c>
      <c r="M144" s="5">
        <v>110.0</v>
      </c>
      <c r="N144" s="5" t="s">
        <v>964</v>
      </c>
      <c r="O144" s="5" t="s">
        <v>735</v>
      </c>
      <c r="P144" s="5" t="s">
        <v>766</v>
      </c>
      <c r="Q144" s="5" t="s">
        <v>734</v>
      </c>
      <c r="R144" s="5" t="s">
        <v>737</v>
      </c>
      <c r="S144" s="5">
        <v>20.0</v>
      </c>
      <c r="T144" s="5">
        <v>52.0</v>
      </c>
      <c r="U144" s="5">
        <v>20.0</v>
      </c>
      <c r="V144" s="5" t="s">
        <v>601</v>
      </c>
      <c r="W144" s="24" t="s">
        <v>738</v>
      </c>
      <c r="X144" s="4"/>
      <c r="Y144" s="4"/>
      <c r="Z144" s="4"/>
    </row>
    <row r="145" ht="15.0" customHeight="1">
      <c r="A145" s="25"/>
      <c r="B145" s="23" t="s">
        <v>1050</v>
      </c>
      <c r="C145" s="5" t="s">
        <v>1051</v>
      </c>
      <c r="D145" s="5" t="s">
        <v>963</v>
      </c>
      <c r="E145" s="5">
        <v>3.0</v>
      </c>
      <c r="F145" s="5">
        <v>20.0</v>
      </c>
      <c r="G145" s="5">
        <v>230.0</v>
      </c>
      <c r="H145" s="5">
        <v>230.0</v>
      </c>
      <c r="I145" s="5">
        <f t="shared" si="2"/>
        <v>0.0529</v>
      </c>
      <c r="J145" s="5">
        <v>70.0</v>
      </c>
      <c r="K145" s="5">
        <v>18.0</v>
      </c>
      <c r="L145" s="5">
        <v>40.0</v>
      </c>
      <c r="M145" s="5">
        <v>130.0</v>
      </c>
      <c r="N145" s="5" t="s">
        <v>964</v>
      </c>
      <c r="O145" s="5" t="s">
        <v>735</v>
      </c>
      <c r="P145" s="5" t="s">
        <v>766</v>
      </c>
      <c r="Q145" s="5" t="s">
        <v>734</v>
      </c>
      <c r="R145" s="5" t="s">
        <v>737</v>
      </c>
      <c r="S145" s="5">
        <v>16.0</v>
      </c>
      <c r="T145" s="5">
        <v>48.0</v>
      </c>
      <c r="U145" s="5">
        <v>20.0</v>
      </c>
      <c r="V145" s="5" t="s">
        <v>601</v>
      </c>
      <c r="W145" s="24" t="s">
        <v>738</v>
      </c>
      <c r="X145" s="4"/>
      <c r="Y145" s="4"/>
      <c r="Z145" s="4"/>
    </row>
    <row r="146" ht="15.0" customHeight="1">
      <c r="A146" s="40" t="s">
        <v>1052</v>
      </c>
      <c r="B146" s="23" t="s">
        <v>1053</v>
      </c>
      <c r="C146" s="5" t="s">
        <v>1054</v>
      </c>
      <c r="D146" s="5" t="s">
        <v>963</v>
      </c>
      <c r="E146" s="5">
        <v>2.0</v>
      </c>
      <c r="F146" s="5">
        <v>22.0</v>
      </c>
      <c r="G146" s="5">
        <v>230.0</v>
      </c>
      <c r="H146" s="5">
        <v>230.0</v>
      </c>
      <c r="I146" s="5">
        <f t="shared" si="2"/>
        <v>0.0529</v>
      </c>
      <c r="J146" s="5">
        <v>50.0</v>
      </c>
      <c r="K146" s="5">
        <v>15.0</v>
      </c>
      <c r="L146" s="5">
        <v>40.0</v>
      </c>
      <c r="M146" s="5">
        <v>100.0</v>
      </c>
      <c r="N146" s="5" t="s">
        <v>964</v>
      </c>
      <c r="O146" s="5" t="s">
        <v>735</v>
      </c>
      <c r="P146" s="5" t="s">
        <v>793</v>
      </c>
      <c r="Q146" s="5" t="s">
        <v>734</v>
      </c>
      <c r="R146" s="5" t="s">
        <v>794</v>
      </c>
      <c r="S146" s="5">
        <v>24.0</v>
      </c>
      <c r="T146" s="5">
        <v>60.0</v>
      </c>
      <c r="U146" s="5">
        <v>20.0</v>
      </c>
      <c r="V146" s="41" t="s">
        <v>371</v>
      </c>
      <c r="W146" s="24" t="s">
        <v>738</v>
      </c>
      <c r="X146" s="4"/>
      <c r="Y146" s="4"/>
      <c r="Z146" s="4"/>
    </row>
    <row r="147" ht="15.0" customHeight="1">
      <c r="A147" s="22"/>
      <c r="B147" s="23" t="s">
        <v>1055</v>
      </c>
      <c r="C147" s="5" t="s">
        <v>1056</v>
      </c>
      <c r="D147" s="5" t="s">
        <v>963</v>
      </c>
      <c r="E147" s="5">
        <v>2.0</v>
      </c>
      <c r="F147" s="5">
        <v>22.0</v>
      </c>
      <c r="G147" s="5">
        <v>230.0</v>
      </c>
      <c r="H147" s="5">
        <v>230.0</v>
      </c>
      <c r="I147" s="5">
        <f t="shared" si="2"/>
        <v>0.0529</v>
      </c>
      <c r="J147" s="5">
        <v>70.0</v>
      </c>
      <c r="K147" s="5">
        <v>18.0</v>
      </c>
      <c r="L147" s="5">
        <v>40.0</v>
      </c>
      <c r="M147" s="5">
        <v>115.0</v>
      </c>
      <c r="N147" s="5" t="s">
        <v>964</v>
      </c>
      <c r="O147" s="5" t="s">
        <v>735</v>
      </c>
      <c r="P147" s="5" t="s">
        <v>793</v>
      </c>
      <c r="Q147" s="5" t="s">
        <v>734</v>
      </c>
      <c r="R147" s="5" t="s">
        <v>794</v>
      </c>
      <c r="S147" s="5">
        <v>20.0</v>
      </c>
      <c r="T147" s="5">
        <v>56.0</v>
      </c>
      <c r="U147" s="5">
        <v>20.0</v>
      </c>
      <c r="V147" s="41" t="s">
        <v>371</v>
      </c>
      <c r="W147" s="24" t="s">
        <v>738</v>
      </c>
      <c r="X147" s="4"/>
      <c r="Y147" s="4"/>
      <c r="Z147" s="4"/>
    </row>
    <row r="148" ht="15.0" customHeight="1">
      <c r="A148" s="25"/>
      <c r="B148" s="23" t="s">
        <v>1057</v>
      </c>
      <c r="C148" s="5" t="s">
        <v>1058</v>
      </c>
      <c r="D148" s="5" t="s">
        <v>963</v>
      </c>
      <c r="E148" s="5">
        <v>2.0</v>
      </c>
      <c r="F148" s="5">
        <v>22.0</v>
      </c>
      <c r="G148" s="5">
        <v>230.0</v>
      </c>
      <c r="H148" s="5">
        <v>230.0</v>
      </c>
      <c r="I148" s="5">
        <f t="shared" si="2"/>
        <v>0.0529</v>
      </c>
      <c r="J148" s="5">
        <v>100.0</v>
      </c>
      <c r="K148" s="5">
        <v>20.0</v>
      </c>
      <c r="L148" s="5">
        <v>40.0</v>
      </c>
      <c r="M148" s="5">
        <v>135.0</v>
      </c>
      <c r="N148" s="5" t="s">
        <v>964</v>
      </c>
      <c r="O148" s="5" t="s">
        <v>735</v>
      </c>
      <c r="P148" s="5" t="s">
        <v>793</v>
      </c>
      <c r="Q148" s="5" t="s">
        <v>734</v>
      </c>
      <c r="R148" s="5" t="s">
        <v>794</v>
      </c>
      <c r="S148" s="5">
        <v>16.0</v>
      </c>
      <c r="T148" s="5">
        <v>52.0</v>
      </c>
      <c r="U148" s="5">
        <v>20.0</v>
      </c>
      <c r="V148" s="41" t="s">
        <v>371</v>
      </c>
      <c r="W148" s="24" t="s">
        <v>738</v>
      </c>
      <c r="X148" s="4"/>
      <c r="Y148" s="4"/>
      <c r="Z148" s="4"/>
    </row>
    <row r="149" ht="15.0" customHeight="1">
      <c r="A149" s="40" t="s">
        <v>1059</v>
      </c>
      <c r="B149" s="23" t="s">
        <v>1060</v>
      </c>
      <c r="C149" s="5" t="s">
        <v>1061</v>
      </c>
      <c r="D149" s="5" t="s">
        <v>963</v>
      </c>
      <c r="E149" s="5">
        <v>2.0</v>
      </c>
      <c r="F149" s="5">
        <v>22.0</v>
      </c>
      <c r="G149" s="5">
        <v>230.0</v>
      </c>
      <c r="H149" s="5">
        <v>230.0</v>
      </c>
      <c r="I149" s="5">
        <f t="shared" si="2"/>
        <v>0.0529</v>
      </c>
      <c r="J149" s="5">
        <v>50.0</v>
      </c>
      <c r="K149" s="5">
        <v>15.0</v>
      </c>
      <c r="L149" s="5">
        <v>40.0</v>
      </c>
      <c r="M149" s="5">
        <v>100.0</v>
      </c>
      <c r="N149" s="5" t="s">
        <v>964</v>
      </c>
      <c r="O149" s="5" t="s">
        <v>823</v>
      </c>
      <c r="P149" s="5" t="s">
        <v>736</v>
      </c>
      <c r="Q149" s="5" t="s">
        <v>734</v>
      </c>
      <c r="R149" s="5" t="s">
        <v>824</v>
      </c>
      <c r="S149" s="5">
        <v>24.0</v>
      </c>
      <c r="T149" s="5">
        <v>60.0</v>
      </c>
      <c r="U149" s="5">
        <v>20.0</v>
      </c>
      <c r="V149" s="5" t="s">
        <v>430</v>
      </c>
      <c r="W149" s="24" t="s">
        <v>825</v>
      </c>
      <c r="X149" s="4"/>
      <c r="Y149" s="4"/>
      <c r="Z149" s="4"/>
    </row>
    <row r="150" ht="15.0" customHeight="1">
      <c r="A150" s="22"/>
      <c r="B150" s="23" t="s">
        <v>1062</v>
      </c>
      <c r="C150" s="5" t="s">
        <v>1063</v>
      </c>
      <c r="D150" s="5" t="s">
        <v>963</v>
      </c>
      <c r="E150" s="5">
        <v>2.0</v>
      </c>
      <c r="F150" s="5">
        <v>22.0</v>
      </c>
      <c r="G150" s="5">
        <v>230.0</v>
      </c>
      <c r="H150" s="5">
        <v>230.0</v>
      </c>
      <c r="I150" s="5">
        <f t="shared" si="2"/>
        <v>0.0529</v>
      </c>
      <c r="J150" s="5">
        <v>70.0</v>
      </c>
      <c r="K150" s="5">
        <v>18.0</v>
      </c>
      <c r="L150" s="5">
        <v>40.0</v>
      </c>
      <c r="M150" s="5">
        <v>115.0</v>
      </c>
      <c r="N150" s="5" t="s">
        <v>964</v>
      </c>
      <c r="O150" s="5" t="s">
        <v>823</v>
      </c>
      <c r="P150" s="5" t="s">
        <v>736</v>
      </c>
      <c r="Q150" s="5" t="s">
        <v>734</v>
      </c>
      <c r="R150" s="5" t="s">
        <v>824</v>
      </c>
      <c r="S150" s="5">
        <v>20.0</v>
      </c>
      <c r="T150" s="5">
        <v>56.0</v>
      </c>
      <c r="U150" s="5">
        <v>20.0</v>
      </c>
      <c r="V150" s="5" t="s">
        <v>430</v>
      </c>
      <c r="W150" s="24" t="s">
        <v>825</v>
      </c>
      <c r="X150" s="4"/>
      <c r="Y150" s="4"/>
      <c r="Z150" s="4"/>
    </row>
    <row r="151" ht="15.0" customHeight="1">
      <c r="A151" s="22"/>
      <c r="B151" s="23" t="s">
        <v>1064</v>
      </c>
      <c r="C151" s="5" t="s">
        <v>1065</v>
      </c>
      <c r="D151" s="5" t="s">
        <v>963</v>
      </c>
      <c r="E151" s="5">
        <v>2.0</v>
      </c>
      <c r="F151" s="5">
        <v>22.0</v>
      </c>
      <c r="G151" s="5">
        <v>230.0</v>
      </c>
      <c r="H151" s="5">
        <v>230.0</v>
      </c>
      <c r="I151" s="5">
        <f t="shared" si="2"/>
        <v>0.0529</v>
      </c>
      <c r="J151" s="5">
        <v>100.0</v>
      </c>
      <c r="K151" s="5">
        <v>20.0</v>
      </c>
      <c r="L151" s="5">
        <v>40.0</v>
      </c>
      <c r="M151" s="5">
        <v>135.0</v>
      </c>
      <c r="N151" s="5" t="s">
        <v>964</v>
      </c>
      <c r="O151" s="5" t="s">
        <v>823</v>
      </c>
      <c r="P151" s="5" t="s">
        <v>736</v>
      </c>
      <c r="Q151" s="5" t="s">
        <v>734</v>
      </c>
      <c r="R151" s="5" t="s">
        <v>824</v>
      </c>
      <c r="S151" s="5">
        <v>16.0</v>
      </c>
      <c r="T151" s="5">
        <v>52.0</v>
      </c>
      <c r="U151" s="5">
        <v>20.0</v>
      </c>
      <c r="V151" s="5" t="s">
        <v>430</v>
      </c>
      <c r="W151" s="24" t="s">
        <v>825</v>
      </c>
      <c r="X151" s="4"/>
      <c r="Y151" s="4"/>
      <c r="Z151" s="4"/>
    </row>
    <row r="152" ht="15.0" customHeight="1">
      <c r="A152" s="22"/>
      <c r="B152" s="23" t="s">
        <v>1066</v>
      </c>
      <c r="C152" s="5" t="s">
        <v>1067</v>
      </c>
      <c r="D152" s="5" t="s">
        <v>963</v>
      </c>
      <c r="E152" s="5">
        <v>2.0</v>
      </c>
      <c r="F152" s="5">
        <v>22.0</v>
      </c>
      <c r="G152" s="5">
        <v>230.0</v>
      </c>
      <c r="H152" s="5">
        <v>230.0</v>
      </c>
      <c r="I152" s="5">
        <f t="shared" si="2"/>
        <v>0.0529</v>
      </c>
      <c r="J152" s="5">
        <v>50.0</v>
      </c>
      <c r="K152" s="5">
        <v>15.0</v>
      </c>
      <c r="L152" s="5">
        <v>40.0</v>
      </c>
      <c r="M152" s="5">
        <v>100.0</v>
      </c>
      <c r="N152" s="5" t="s">
        <v>964</v>
      </c>
      <c r="O152" s="5" t="s">
        <v>823</v>
      </c>
      <c r="P152" s="5" t="s">
        <v>736</v>
      </c>
      <c r="Q152" s="5" t="s">
        <v>734</v>
      </c>
      <c r="R152" s="5" t="s">
        <v>824</v>
      </c>
      <c r="S152" s="5">
        <v>24.0</v>
      </c>
      <c r="T152" s="5">
        <v>60.0</v>
      </c>
      <c r="U152" s="5">
        <v>20.0</v>
      </c>
      <c r="V152" s="5" t="s">
        <v>479</v>
      </c>
      <c r="W152" s="24" t="s">
        <v>825</v>
      </c>
      <c r="X152" s="4"/>
      <c r="Y152" s="4"/>
      <c r="Z152" s="4"/>
    </row>
    <row r="153" ht="15.0" customHeight="1">
      <c r="A153" s="25"/>
      <c r="B153" s="23" t="s">
        <v>1068</v>
      </c>
      <c r="C153" s="5" t="s">
        <v>1069</v>
      </c>
      <c r="D153" s="5" t="s">
        <v>963</v>
      </c>
      <c r="E153" s="5">
        <v>2.0</v>
      </c>
      <c r="F153" s="5">
        <v>22.0</v>
      </c>
      <c r="G153" s="5">
        <v>230.0</v>
      </c>
      <c r="H153" s="5">
        <v>230.0</v>
      </c>
      <c r="I153" s="5">
        <f t="shared" si="2"/>
        <v>0.0529</v>
      </c>
      <c r="J153" s="5">
        <v>70.0</v>
      </c>
      <c r="K153" s="5">
        <v>18.0</v>
      </c>
      <c r="L153" s="5">
        <v>40.0</v>
      </c>
      <c r="M153" s="5">
        <v>115.0</v>
      </c>
      <c r="N153" s="5" t="s">
        <v>964</v>
      </c>
      <c r="O153" s="5" t="s">
        <v>823</v>
      </c>
      <c r="P153" s="5" t="s">
        <v>736</v>
      </c>
      <c r="Q153" s="5" t="s">
        <v>734</v>
      </c>
      <c r="R153" s="5" t="s">
        <v>824</v>
      </c>
      <c r="S153" s="5">
        <v>20.0</v>
      </c>
      <c r="T153" s="5">
        <v>56.0</v>
      </c>
      <c r="U153" s="5">
        <v>20.0</v>
      </c>
      <c r="V153" s="5" t="s">
        <v>479</v>
      </c>
      <c r="W153" s="24" t="s">
        <v>825</v>
      </c>
      <c r="X153" s="4"/>
      <c r="Y153" s="4"/>
      <c r="Z153" s="4"/>
    </row>
    <row r="154" ht="14.25" customHeight="1">
      <c r="A154" s="42" t="s">
        <v>1070</v>
      </c>
      <c r="B154" s="38"/>
      <c r="W154" s="39"/>
      <c r="X154" s="4"/>
      <c r="Y154" s="4"/>
      <c r="Z154" s="4"/>
    </row>
    <row r="155" ht="15.0" customHeight="1">
      <c r="A155" s="40" t="s">
        <v>1071</v>
      </c>
      <c r="B155" s="23" t="s">
        <v>1072</v>
      </c>
      <c r="C155" s="5" t="s">
        <v>1073</v>
      </c>
      <c r="D155" s="5" t="s">
        <v>1074</v>
      </c>
      <c r="E155" s="5">
        <v>1.0</v>
      </c>
      <c r="F155" s="5">
        <v>17.0</v>
      </c>
      <c r="G155" s="5">
        <v>230.0</v>
      </c>
      <c r="H155" s="5">
        <v>230.0</v>
      </c>
      <c r="I155" s="5">
        <f t="shared" ref="I155:I176" si="3">G155*H155/1000000</f>
        <v>0.0529</v>
      </c>
      <c r="J155" s="5">
        <v>50.0</v>
      </c>
      <c r="K155" s="5">
        <v>0.0</v>
      </c>
      <c r="L155" s="5">
        <v>0.0</v>
      </c>
      <c r="M155" s="5">
        <v>0.0</v>
      </c>
      <c r="N155" s="5" t="s">
        <v>734</v>
      </c>
      <c r="O155" s="5" t="s">
        <v>735</v>
      </c>
      <c r="P155" s="5" t="s">
        <v>793</v>
      </c>
      <c r="Q155" s="5" t="s">
        <v>734</v>
      </c>
      <c r="R155" s="5" t="s">
        <v>737</v>
      </c>
      <c r="S155" s="5">
        <v>60.0</v>
      </c>
      <c r="T155" s="5">
        <v>80.0</v>
      </c>
      <c r="U155" s="5">
        <v>22.0</v>
      </c>
      <c r="V155" s="5" t="s">
        <v>126</v>
      </c>
      <c r="W155" s="24" t="s">
        <v>1075</v>
      </c>
      <c r="X155" s="4"/>
      <c r="Y155" s="4"/>
      <c r="Z155" s="4"/>
    </row>
    <row r="156" ht="15.0" customHeight="1">
      <c r="A156" s="22"/>
      <c r="B156" s="23" t="s">
        <v>1076</v>
      </c>
      <c r="C156" s="5" t="s">
        <v>1077</v>
      </c>
      <c r="D156" s="5" t="s">
        <v>1074</v>
      </c>
      <c r="E156" s="5">
        <v>1.0</v>
      </c>
      <c r="F156" s="5">
        <v>17.0</v>
      </c>
      <c r="G156" s="5">
        <v>230.0</v>
      </c>
      <c r="H156" s="5">
        <v>230.0</v>
      </c>
      <c r="I156" s="5">
        <f t="shared" si="3"/>
        <v>0.0529</v>
      </c>
      <c r="J156" s="5">
        <v>100.0</v>
      </c>
      <c r="K156" s="5">
        <v>0.0</v>
      </c>
      <c r="L156" s="5">
        <v>0.0</v>
      </c>
      <c r="M156" s="5">
        <v>0.0</v>
      </c>
      <c r="N156" s="5" t="s">
        <v>734</v>
      </c>
      <c r="O156" s="5" t="s">
        <v>735</v>
      </c>
      <c r="P156" s="5" t="s">
        <v>793</v>
      </c>
      <c r="Q156" s="5" t="s">
        <v>734</v>
      </c>
      <c r="R156" s="5" t="s">
        <v>737</v>
      </c>
      <c r="S156" s="5">
        <v>48.0</v>
      </c>
      <c r="T156" s="5">
        <v>72.0</v>
      </c>
      <c r="U156" s="5">
        <v>22.0</v>
      </c>
      <c r="V156" s="5" t="s">
        <v>126</v>
      </c>
      <c r="W156" s="24" t="s">
        <v>1075</v>
      </c>
      <c r="X156" s="4"/>
      <c r="Y156" s="4"/>
      <c r="Z156" s="4"/>
    </row>
    <row r="157" ht="15.0" customHeight="1">
      <c r="A157" s="22"/>
      <c r="B157" s="23" t="s">
        <v>1078</v>
      </c>
      <c r="C157" s="5" t="s">
        <v>1079</v>
      </c>
      <c r="D157" s="5" t="s">
        <v>1074</v>
      </c>
      <c r="E157" s="5">
        <v>1.0</v>
      </c>
      <c r="F157" s="5">
        <v>17.0</v>
      </c>
      <c r="G157" s="5">
        <v>230.0</v>
      </c>
      <c r="H157" s="5">
        <v>230.0</v>
      </c>
      <c r="I157" s="5">
        <f t="shared" si="3"/>
        <v>0.0529</v>
      </c>
      <c r="J157" s="5">
        <v>200.0</v>
      </c>
      <c r="K157" s="5">
        <v>0.0</v>
      </c>
      <c r="L157" s="5">
        <v>0.0</v>
      </c>
      <c r="M157" s="5">
        <v>0.0</v>
      </c>
      <c r="N157" s="5" t="s">
        <v>734</v>
      </c>
      <c r="O157" s="5" t="s">
        <v>735</v>
      </c>
      <c r="P157" s="5" t="s">
        <v>793</v>
      </c>
      <c r="Q157" s="5" t="s">
        <v>734</v>
      </c>
      <c r="R157" s="5" t="s">
        <v>737</v>
      </c>
      <c r="S157" s="5">
        <v>32.0</v>
      </c>
      <c r="T157" s="5">
        <v>64.0</v>
      </c>
      <c r="U157" s="5">
        <v>22.0</v>
      </c>
      <c r="V157" s="5" t="s">
        <v>126</v>
      </c>
      <c r="W157" s="24" t="s">
        <v>1075</v>
      </c>
      <c r="X157" s="4"/>
      <c r="Y157" s="4"/>
      <c r="Z157" s="4"/>
    </row>
    <row r="158" ht="15.0" customHeight="1">
      <c r="A158" s="22"/>
      <c r="B158" s="23" t="s">
        <v>1080</v>
      </c>
      <c r="C158" s="5" t="s">
        <v>1081</v>
      </c>
      <c r="D158" s="5" t="s">
        <v>1074</v>
      </c>
      <c r="E158" s="5">
        <v>1.0</v>
      </c>
      <c r="F158" s="5">
        <v>17.0</v>
      </c>
      <c r="G158" s="5">
        <v>240.0</v>
      </c>
      <c r="H158" s="5">
        <v>240.0</v>
      </c>
      <c r="I158" s="5">
        <f t="shared" si="3"/>
        <v>0.0576</v>
      </c>
      <c r="J158" s="5">
        <v>50.0</v>
      </c>
      <c r="K158" s="5">
        <v>0.0</v>
      </c>
      <c r="L158" s="5">
        <v>0.0</v>
      </c>
      <c r="M158" s="5">
        <v>0.0</v>
      </c>
      <c r="N158" s="5" t="s">
        <v>734</v>
      </c>
      <c r="O158" s="5" t="s">
        <v>735</v>
      </c>
      <c r="P158" s="5" t="s">
        <v>793</v>
      </c>
      <c r="Q158" s="5" t="s">
        <v>734</v>
      </c>
      <c r="R158" s="5" t="s">
        <v>737</v>
      </c>
      <c r="S158" s="5">
        <v>60.0</v>
      </c>
      <c r="T158" s="5">
        <v>80.0</v>
      </c>
      <c r="U158" s="5">
        <v>22.0</v>
      </c>
      <c r="V158" s="5" t="s">
        <v>126</v>
      </c>
      <c r="W158" s="24" t="s">
        <v>1075</v>
      </c>
      <c r="X158" s="4"/>
      <c r="Y158" s="4"/>
      <c r="Z158" s="4"/>
    </row>
    <row r="159" ht="15.0" customHeight="1">
      <c r="A159" s="22"/>
      <c r="B159" s="23" t="s">
        <v>1082</v>
      </c>
      <c r="C159" s="5" t="s">
        <v>1083</v>
      </c>
      <c r="D159" s="5" t="s">
        <v>1074</v>
      </c>
      <c r="E159" s="5">
        <v>1.0</v>
      </c>
      <c r="F159" s="5">
        <v>17.0</v>
      </c>
      <c r="G159" s="5">
        <v>240.0</v>
      </c>
      <c r="H159" s="5">
        <v>240.0</v>
      </c>
      <c r="I159" s="5">
        <f t="shared" si="3"/>
        <v>0.0576</v>
      </c>
      <c r="J159" s="5">
        <v>100.0</v>
      </c>
      <c r="K159" s="5">
        <v>0.0</v>
      </c>
      <c r="L159" s="5">
        <v>0.0</v>
      </c>
      <c r="M159" s="5">
        <v>0.0</v>
      </c>
      <c r="N159" s="5" t="s">
        <v>734</v>
      </c>
      <c r="O159" s="5" t="s">
        <v>735</v>
      </c>
      <c r="P159" s="5" t="s">
        <v>793</v>
      </c>
      <c r="Q159" s="5" t="s">
        <v>734</v>
      </c>
      <c r="R159" s="5" t="s">
        <v>737</v>
      </c>
      <c r="S159" s="5">
        <v>48.0</v>
      </c>
      <c r="T159" s="5">
        <v>72.0</v>
      </c>
      <c r="U159" s="5">
        <v>22.0</v>
      </c>
      <c r="V159" s="5" t="s">
        <v>126</v>
      </c>
      <c r="W159" s="24" t="s">
        <v>1075</v>
      </c>
      <c r="X159" s="4"/>
      <c r="Y159" s="4"/>
      <c r="Z159" s="4"/>
    </row>
    <row r="160" ht="15.0" customHeight="1">
      <c r="A160" s="25"/>
      <c r="B160" s="23" t="s">
        <v>1084</v>
      </c>
      <c r="C160" s="5" t="s">
        <v>1085</v>
      </c>
      <c r="D160" s="5" t="s">
        <v>1074</v>
      </c>
      <c r="E160" s="5">
        <v>1.0</v>
      </c>
      <c r="F160" s="5">
        <v>17.0</v>
      </c>
      <c r="G160" s="5">
        <v>250.0</v>
      </c>
      <c r="H160" s="5">
        <v>250.0</v>
      </c>
      <c r="I160" s="5">
        <f t="shared" si="3"/>
        <v>0.0625</v>
      </c>
      <c r="J160" s="5">
        <v>100.0</v>
      </c>
      <c r="K160" s="5">
        <v>0.0</v>
      </c>
      <c r="L160" s="5">
        <v>0.0</v>
      </c>
      <c r="M160" s="5">
        <v>0.0</v>
      </c>
      <c r="N160" s="5" t="s">
        <v>734</v>
      </c>
      <c r="O160" s="5" t="s">
        <v>735</v>
      </c>
      <c r="P160" s="5" t="s">
        <v>793</v>
      </c>
      <c r="Q160" s="5" t="s">
        <v>734</v>
      </c>
      <c r="R160" s="5" t="s">
        <v>737</v>
      </c>
      <c r="S160" s="5">
        <v>48.0</v>
      </c>
      <c r="T160" s="5">
        <v>72.0</v>
      </c>
      <c r="U160" s="5">
        <v>22.0</v>
      </c>
      <c r="V160" s="5" t="s">
        <v>126</v>
      </c>
      <c r="W160" s="24" t="s">
        <v>1075</v>
      </c>
      <c r="X160" s="4"/>
      <c r="Y160" s="4"/>
      <c r="Z160" s="4"/>
    </row>
    <row r="161" ht="15.0" customHeight="1">
      <c r="A161" s="40" t="s">
        <v>1086</v>
      </c>
      <c r="B161" s="23" t="s">
        <v>1087</v>
      </c>
      <c r="C161" s="5" t="s">
        <v>1088</v>
      </c>
      <c r="D161" s="5" t="s">
        <v>1074</v>
      </c>
      <c r="E161" s="5">
        <v>1.0</v>
      </c>
      <c r="F161" s="5">
        <v>18.0</v>
      </c>
      <c r="G161" s="5">
        <v>300.0</v>
      </c>
      <c r="H161" s="5">
        <v>300.0</v>
      </c>
      <c r="I161" s="5">
        <f t="shared" si="3"/>
        <v>0.09</v>
      </c>
      <c r="J161" s="5">
        <v>50.0</v>
      </c>
      <c r="K161" s="5">
        <v>0.0</v>
      </c>
      <c r="L161" s="5">
        <v>0.0</v>
      </c>
      <c r="M161" s="5">
        <v>0.0</v>
      </c>
      <c r="N161" s="5" t="s">
        <v>734</v>
      </c>
      <c r="O161" s="5" t="s">
        <v>735</v>
      </c>
      <c r="P161" s="5" t="s">
        <v>793</v>
      </c>
      <c r="Q161" s="5" t="s">
        <v>734</v>
      </c>
      <c r="R161" s="5" t="s">
        <v>737</v>
      </c>
      <c r="S161" s="5">
        <v>48.0</v>
      </c>
      <c r="T161" s="5">
        <v>72.0</v>
      </c>
      <c r="U161" s="5">
        <v>22.0</v>
      </c>
      <c r="V161" s="5" t="s">
        <v>128</v>
      </c>
      <c r="W161" s="24" t="s">
        <v>1075</v>
      </c>
      <c r="X161" s="4"/>
      <c r="Y161" s="4"/>
      <c r="Z161" s="4"/>
    </row>
    <row r="162" ht="15.0" customHeight="1">
      <c r="A162" s="22"/>
      <c r="B162" s="23" t="s">
        <v>1089</v>
      </c>
      <c r="C162" s="5" t="s">
        <v>1090</v>
      </c>
      <c r="D162" s="5" t="s">
        <v>1074</v>
      </c>
      <c r="E162" s="5">
        <v>1.0</v>
      </c>
      <c r="F162" s="5">
        <v>18.0</v>
      </c>
      <c r="G162" s="5">
        <v>300.0</v>
      </c>
      <c r="H162" s="5">
        <v>300.0</v>
      </c>
      <c r="I162" s="5">
        <f t="shared" si="3"/>
        <v>0.09</v>
      </c>
      <c r="J162" s="5">
        <v>100.0</v>
      </c>
      <c r="K162" s="5">
        <v>0.0</v>
      </c>
      <c r="L162" s="5">
        <v>0.0</v>
      </c>
      <c r="M162" s="5">
        <v>0.0</v>
      </c>
      <c r="N162" s="5" t="s">
        <v>734</v>
      </c>
      <c r="O162" s="5" t="s">
        <v>735</v>
      </c>
      <c r="P162" s="5" t="s">
        <v>793</v>
      </c>
      <c r="Q162" s="5" t="s">
        <v>734</v>
      </c>
      <c r="R162" s="5" t="s">
        <v>737</v>
      </c>
      <c r="S162" s="5">
        <v>32.0</v>
      </c>
      <c r="T162" s="5">
        <v>64.0</v>
      </c>
      <c r="U162" s="5">
        <v>22.0</v>
      </c>
      <c r="V162" s="5" t="s">
        <v>128</v>
      </c>
      <c r="W162" s="24" t="s">
        <v>1075</v>
      </c>
      <c r="X162" s="4"/>
      <c r="Y162" s="4"/>
      <c r="Z162" s="4"/>
    </row>
    <row r="163" ht="15.0" customHeight="1">
      <c r="A163" s="22"/>
      <c r="B163" s="23" t="s">
        <v>1091</v>
      </c>
      <c r="C163" s="5" t="s">
        <v>1092</v>
      </c>
      <c r="D163" s="5" t="s">
        <v>1074</v>
      </c>
      <c r="E163" s="5">
        <v>1.0</v>
      </c>
      <c r="F163" s="5">
        <v>18.0</v>
      </c>
      <c r="G163" s="5">
        <v>300.0</v>
      </c>
      <c r="H163" s="5">
        <v>300.0</v>
      </c>
      <c r="I163" s="5">
        <f t="shared" si="3"/>
        <v>0.09</v>
      </c>
      <c r="J163" s="5">
        <v>200.0</v>
      </c>
      <c r="K163" s="5">
        <v>0.0</v>
      </c>
      <c r="L163" s="5">
        <v>0.0</v>
      </c>
      <c r="M163" s="5">
        <v>0.0</v>
      </c>
      <c r="N163" s="5" t="s">
        <v>734</v>
      </c>
      <c r="O163" s="5" t="s">
        <v>735</v>
      </c>
      <c r="P163" s="5" t="s">
        <v>793</v>
      </c>
      <c r="Q163" s="5" t="s">
        <v>734</v>
      </c>
      <c r="R163" s="5" t="s">
        <v>737</v>
      </c>
      <c r="S163" s="5">
        <v>20.0</v>
      </c>
      <c r="T163" s="5">
        <v>56.0</v>
      </c>
      <c r="U163" s="5">
        <v>22.0</v>
      </c>
      <c r="V163" s="5" t="s">
        <v>128</v>
      </c>
      <c r="W163" s="24" t="s">
        <v>1075</v>
      </c>
      <c r="X163" s="4"/>
      <c r="Y163" s="4"/>
      <c r="Z163" s="4"/>
    </row>
    <row r="164" ht="15.0" customHeight="1">
      <c r="A164" s="22"/>
      <c r="B164" s="23" t="s">
        <v>1093</v>
      </c>
      <c r="C164" s="5" t="s">
        <v>1094</v>
      </c>
      <c r="D164" s="5" t="s">
        <v>1074</v>
      </c>
      <c r="E164" s="5">
        <v>1.0</v>
      </c>
      <c r="F164" s="5">
        <v>18.0</v>
      </c>
      <c r="G164" s="5">
        <v>330.0</v>
      </c>
      <c r="H164" s="5">
        <v>330.0</v>
      </c>
      <c r="I164" s="5">
        <f t="shared" si="3"/>
        <v>0.1089</v>
      </c>
      <c r="J164" s="5">
        <v>50.0</v>
      </c>
      <c r="K164" s="5">
        <v>0.0</v>
      </c>
      <c r="L164" s="5">
        <v>0.0</v>
      </c>
      <c r="M164" s="5">
        <v>0.0</v>
      </c>
      <c r="N164" s="5" t="s">
        <v>734</v>
      </c>
      <c r="O164" s="5" t="s">
        <v>735</v>
      </c>
      <c r="P164" s="5" t="s">
        <v>793</v>
      </c>
      <c r="Q164" s="5" t="s">
        <v>734</v>
      </c>
      <c r="R164" s="5" t="s">
        <v>737</v>
      </c>
      <c r="S164" s="5">
        <v>40.0</v>
      </c>
      <c r="T164" s="5">
        <v>64.0</v>
      </c>
      <c r="U164" s="5">
        <v>22.0</v>
      </c>
      <c r="V164" s="5" t="s">
        <v>128</v>
      </c>
      <c r="W164" s="24" t="s">
        <v>1075</v>
      </c>
      <c r="X164" s="4"/>
      <c r="Y164" s="4"/>
      <c r="Z164" s="4"/>
    </row>
    <row r="165" ht="15.0" customHeight="1">
      <c r="A165" s="22"/>
      <c r="B165" s="23" t="s">
        <v>1095</v>
      </c>
      <c r="C165" s="5" t="s">
        <v>1096</v>
      </c>
      <c r="D165" s="5" t="s">
        <v>1074</v>
      </c>
      <c r="E165" s="5">
        <v>1.0</v>
      </c>
      <c r="F165" s="5">
        <v>18.0</v>
      </c>
      <c r="G165" s="5">
        <v>330.0</v>
      </c>
      <c r="H165" s="5">
        <v>330.0</v>
      </c>
      <c r="I165" s="5">
        <f t="shared" si="3"/>
        <v>0.1089</v>
      </c>
      <c r="J165" s="5">
        <v>100.0</v>
      </c>
      <c r="K165" s="5">
        <v>0.0</v>
      </c>
      <c r="L165" s="5">
        <v>0.0</v>
      </c>
      <c r="M165" s="5">
        <v>0.0</v>
      </c>
      <c r="N165" s="5" t="s">
        <v>734</v>
      </c>
      <c r="O165" s="5" t="s">
        <v>735</v>
      </c>
      <c r="P165" s="5" t="s">
        <v>793</v>
      </c>
      <c r="Q165" s="5" t="s">
        <v>734</v>
      </c>
      <c r="R165" s="5" t="s">
        <v>737</v>
      </c>
      <c r="S165" s="5">
        <v>24.0</v>
      </c>
      <c r="T165" s="5">
        <v>56.0</v>
      </c>
      <c r="U165" s="5">
        <v>22.0</v>
      </c>
      <c r="V165" s="5" t="s">
        <v>128</v>
      </c>
      <c r="W165" s="24" t="s">
        <v>1075</v>
      </c>
      <c r="X165" s="4"/>
      <c r="Y165" s="4"/>
      <c r="Z165" s="4"/>
    </row>
    <row r="166" ht="15.0" customHeight="1">
      <c r="A166" s="25"/>
      <c r="B166" s="23" t="s">
        <v>1097</v>
      </c>
      <c r="C166" s="5" t="s">
        <v>1098</v>
      </c>
      <c r="D166" s="5" t="s">
        <v>1074</v>
      </c>
      <c r="E166" s="5">
        <v>1.0</v>
      </c>
      <c r="F166" s="5">
        <v>18.0</v>
      </c>
      <c r="G166" s="5">
        <v>330.0</v>
      </c>
      <c r="H166" s="5">
        <v>330.0</v>
      </c>
      <c r="I166" s="5">
        <f t="shared" si="3"/>
        <v>0.1089</v>
      </c>
      <c r="J166" s="5">
        <v>200.0</v>
      </c>
      <c r="K166" s="5">
        <v>0.0</v>
      </c>
      <c r="L166" s="5">
        <v>0.0</v>
      </c>
      <c r="M166" s="5">
        <v>0.0</v>
      </c>
      <c r="N166" s="5" t="s">
        <v>734</v>
      </c>
      <c r="O166" s="5" t="s">
        <v>735</v>
      </c>
      <c r="P166" s="5" t="s">
        <v>793</v>
      </c>
      <c r="Q166" s="5" t="s">
        <v>734</v>
      </c>
      <c r="R166" s="5" t="s">
        <v>737</v>
      </c>
      <c r="S166" s="5">
        <v>16.0</v>
      </c>
      <c r="T166" s="5">
        <v>48.0</v>
      </c>
      <c r="U166" s="5">
        <v>22.0</v>
      </c>
      <c r="V166" s="5" t="s">
        <v>128</v>
      </c>
      <c r="W166" s="24" t="s">
        <v>1075</v>
      </c>
      <c r="X166" s="4"/>
      <c r="Y166" s="4"/>
      <c r="Z166" s="4"/>
    </row>
    <row r="167" ht="15.0" customHeight="1">
      <c r="A167" s="40" t="s">
        <v>1099</v>
      </c>
      <c r="B167" s="23" t="s">
        <v>1100</v>
      </c>
      <c r="C167" s="5" t="s">
        <v>1101</v>
      </c>
      <c r="D167" s="5" t="s">
        <v>1074</v>
      </c>
      <c r="E167" s="5">
        <v>1.0</v>
      </c>
      <c r="F167" s="5">
        <v>18.0</v>
      </c>
      <c r="G167" s="5">
        <v>400.0</v>
      </c>
      <c r="H167" s="5">
        <v>400.0</v>
      </c>
      <c r="I167" s="5">
        <f t="shared" si="3"/>
        <v>0.16</v>
      </c>
      <c r="J167" s="5">
        <v>50.0</v>
      </c>
      <c r="K167" s="5">
        <v>0.0</v>
      </c>
      <c r="L167" s="5">
        <v>0.0</v>
      </c>
      <c r="M167" s="5">
        <v>0.0</v>
      </c>
      <c r="N167" s="5" t="s">
        <v>734</v>
      </c>
      <c r="O167" s="5" t="s">
        <v>735</v>
      </c>
      <c r="P167" s="5" t="s">
        <v>736</v>
      </c>
      <c r="Q167" s="5" t="s">
        <v>734</v>
      </c>
      <c r="R167" s="5" t="s">
        <v>737</v>
      </c>
      <c r="S167" s="5">
        <v>32.0</v>
      </c>
      <c r="T167" s="5">
        <v>56.0</v>
      </c>
      <c r="U167" s="5">
        <v>22.0</v>
      </c>
      <c r="V167" s="5" t="s">
        <v>128</v>
      </c>
      <c r="W167" s="24" t="s">
        <v>1075</v>
      </c>
      <c r="X167" s="4"/>
      <c r="Y167" s="4"/>
      <c r="Z167" s="4"/>
    </row>
    <row r="168" ht="15.0" customHeight="1">
      <c r="A168" s="22"/>
      <c r="B168" s="23" t="s">
        <v>1102</v>
      </c>
      <c r="C168" s="5" t="s">
        <v>1103</v>
      </c>
      <c r="D168" s="5" t="s">
        <v>1074</v>
      </c>
      <c r="E168" s="5">
        <v>1.0</v>
      </c>
      <c r="F168" s="5">
        <v>18.0</v>
      </c>
      <c r="G168" s="5">
        <v>330.0</v>
      </c>
      <c r="H168" s="5">
        <v>330.0</v>
      </c>
      <c r="I168" s="5">
        <f t="shared" si="3"/>
        <v>0.1089</v>
      </c>
      <c r="J168" s="5">
        <v>100.0</v>
      </c>
      <c r="K168" s="5">
        <v>0.0</v>
      </c>
      <c r="L168" s="5">
        <v>0.0</v>
      </c>
      <c r="M168" s="5">
        <v>0.0</v>
      </c>
      <c r="N168" s="5" t="s">
        <v>734</v>
      </c>
      <c r="O168" s="5" t="s">
        <v>735</v>
      </c>
      <c r="P168" s="5" t="s">
        <v>793</v>
      </c>
      <c r="Q168" s="5" t="s">
        <v>734</v>
      </c>
      <c r="R168" s="5" t="s">
        <v>737</v>
      </c>
      <c r="S168" s="5">
        <v>24.0</v>
      </c>
      <c r="T168" s="5">
        <v>48.0</v>
      </c>
      <c r="U168" s="5">
        <v>22.0</v>
      </c>
      <c r="V168" s="5" t="s">
        <v>128</v>
      </c>
      <c r="W168" s="24" t="s">
        <v>1075</v>
      </c>
      <c r="X168" s="4"/>
      <c r="Y168" s="4"/>
      <c r="Z168" s="4"/>
    </row>
    <row r="169" ht="15.0" customHeight="1">
      <c r="A169" s="22"/>
      <c r="B169" s="23" t="s">
        <v>1104</v>
      </c>
      <c r="C169" s="5" t="s">
        <v>1105</v>
      </c>
      <c r="D169" s="5" t="s">
        <v>1074</v>
      </c>
      <c r="E169" s="5">
        <v>1.0</v>
      </c>
      <c r="F169" s="5">
        <v>17.0</v>
      </c>
      <c r="G169" s="5">
        <v>240.0</v>
      </c>
      <c r="H169" s="5">
        <v>240.0</v>
      </c>
      <c r="I169" s="5">
        <f t="shared" si="3"/>
        <v>0.0576</v>
      </c>
      <c r="J169" s="5">
        <v>500.0</v>
      </c>
      <c r="K169" s="5">
        <v>0.0</v>
      </c>
      <c r="L169" s="5">
        <v>0.0</v>
      </c>
      <c r="M169" s="5">
        <v>0.0</v>
      </c>
      <c r="N169" s="5" t="s">
        <v>734</v>
      </c>
      <c r="O169" s="5" t="s">
        <v>735</v>
      </c>
      <c r="P169" s="5" t="s">
        <v>738</v>
      </c>
      <c r="Q169" s="5" t="s">
        <v>734</v>
      </c>
      <c r="R169" s="5" t="s">
        <v>1106</v>
      </c>
      <c r="S169" s="5">
        <v>6.0</v>
      </c>
      <c r="T169" s="5">
        <v>40.0</v>
      </c>
      <c r="U169" s="5">
        <v>22.0</v>
      </c>
      <c r="V169" s="5" t="s">
        <v>182</v>
      </c>
      <c r="W169" s="24" t="s">
        <v>1075</v>
      </c>
      <c r="X169" s="4"/>
      <c r="Y169" s="4"/>
      <c r="Z169" s="4"/>
    </row>
    <row r="170" ht="15.0" customHeight="1">
      <c r="A170" s="22"/>
      <c r="B170" s="23" t="s">
        <v>1107</v>
      </c>
      <c r="C170" s="5" t="s">
        <v>1108</v>
      </c>
      <c r="D170" s="5" t="s">
        <v>1074</v>
      </c>
      <c r="E170" s="5">
        <v>1.0</v>
      </c>
      <c r="F170" s="5">
        <v>18.0</v>
      </c>
      <c r="G170" s="5">
        <v>330.0</v>
      </c>
      <c r="H170" s="5">
        <v>330.0</v>
      </c>
      <c r="I170" s="5">
        <f t="shared" si="3"/>
        <v>0.1089</v>
      </c>
      <c r="J170" s="5">
        <v>100.0</v>
      </c>
      <c r="K170" s="5">
        <v>0.0</v>
      </c>
      <c r="L170" s="5">
        <v>0.0</v>
      </c>
      <c r="M170" s="5">
        <v>0.0</v>
      </c>
      <c r="N170" s="5" t="s">
        <v>734</v>
      </c>
      <c r="O170" s="5" t="s">
        <v>1109</v>
      </c>
      <c r="P170" s="5" t="s">
        <v>793</v>
      </c>
      <c r="Q170" s="5" t="s">
        <v>734</v>
      </c>
      <c r="R170" s="5" t="s">
        <v>737</v>
      </c>
      <c r="S170" s="5">
        <v>24.0</v>
      </c>
      <c r="T170" s="5">
        <v>48.0</v>
      </c>
      <c r="U170" s="5">
        <v>22.0</v>
      </c>
      <c r="V170" s="23" t="s">
        <v>238</v>
      </c>
      <c r="W170" s="24" t="s">
        <v>1075</v>
      </c>
      <c r="X170" s="4"/>
      <c r="Y170" s="4"/>
      <c r="Z170" s="4"/>
    </row>
    <row r="171" ht="15.0" customHeight="1">
      <c r="A171" s="25"/>
      <c r="B171" s="23" t="s">
        <v>1110</v>
      </c>
      <c r="C171" s="5" t="s">
        <v>1103</v>
      </c>
      <c r="D171" s="5" t="s">
        <v>1074</v>
      </c>
      <c r="E171" s="5">
        <v>1.0</v>
      </c>
      <c r="F171" s="5">
        <v>18.0</v>
      </c>
      <c r="G171" s="5">
        <v>400.0</v>
      </c>
      <c r="H171" s="5">
        <v>400.0</v>
      </c>
      <c r="I171" s="5">
        <f t="shared" si="3"/>
        <v>0.16</v>
      </c>
      <c r="J171" s="5">
        <v>100.0</v>
      </c>
      <c r="K171" s="5">
        <v>0.0</v>
      </c>
      <c r="L171" s="5">
        <v>0.0</v>
      </c>
      <c r="M171" s="5">
        <v>0.0</v>
      </c>
      <c r="N171" s="5" t="s">
        <v>734</v>
      </c>
      <c r="O171" s="5" t="s">
        <v>735</v>
      </c>
      <c r="P171" s="5" t="s">
        <v>736</v>
      </c>
      <c r="Q171" s="5" t="s">
        <v>734</v>
      </c>
      <c r="R171" s="5" t="s">
        <v>737</v>
      </c>
      <c r="S171" s="5">
        <v>20.0</v>
      </c>
      <c r="T171" s="5">
        <v>48.0</v>
      </c>
      <c r="U171" s="5">
        <v>22.0</v>
      </c>
      <c r="V171" s="5" t="s">
        <v>128</v>
      </c>
      <c r="W171" s="24" t="s">
        <v>1075</v>
      </c>
      <c r="X171" s="4"/>
      <c r="Y171" s="4"/>
      <c r="Z171" s="4"/>
    </row>
    <row r="172" ht="14.25" customHeight="1">
      <c r="A172" s="16" t="s">
        <v>1111</v>
      </c>
      <c r="B172" s="23" t="s">
        <v>1112</v>
      </c>
      <c r="C172" s="5" t="s">
        <v>1113</v>
      </c>
      <c r="D172" s="5" t="s">
        <v>1074</v>
      </c>
      <c r="E172" s="5">
        <v>2.0</v>
      </c>
      <c r="F172" s="5">
        <v>17.0</v>
      </c>
      <c r="G172" s="5">
        <v>240.0</v>
      </c>
      <c r="H172" s="5">
        <v>240.0</v>
      </c>
      <c r="I172" s="5">
        <f t="shared" si="3"/>
        <v>0.0576</v>
      </c>
      <c r="J172" s="5">
        <v>50.0</v>
      </c>
      <c r="K172" s="5">
        <v>0.0</v>
      </c>
      <c r="L172" s="5">
        <v>0.0</v>
      </c>
      <c r="M172" s="5">
        <v>0.0</v>
      </c>
      <c r="N172" s="5" t="s">
        <v>734</v>
      </c>
      <c r="O172" s="5" t="s">
        <v>735</v>
      </c>
      <c r="P172" s="5" t="s">
        <v>736</v>
      </c>
      <c r="Q172" s="5" t="s">
        <v>734</v>
      </c>
      <c r="R172" s="5" t="s">
        <v>737</v>
      </c>
      <c r="S172" s="5">
        <v>48.0</v>
      </c>
      <c r="T172" s="5">
        <v>72.0</v>
      </c>
      <c r="U172" s="5">
        <v>22.0</v>
      </c>
      <c r="V172" s="5" t="s">
        <v>126</v>
      </c>
      <c r="W172" s="24" t="s">
        <v>1075</v>
      </c>
      <c r="X172" s="4"/>
      <c r="Y172" s="4"/>
      <c r="Z172" s="4"/>
    </row>
    <row r="173" ht="14.25" customHeight="1">
      <c r="A173" s="22"/>
      <c r="B173" s="23" t="s">
        <v>1114</v>
      </c>
      <c r="C173" s="5" t="s">
        <v>1115</v>
      </c>
      <c r="D173" s="5" t="s">
        <v>1074</v>
      </c>
      <c r="E173" s="5">
        <v>2.0</v>
      </c>
      <c r="F173" s="5">
        <v>17.0</v>
      </c>
      <c r="G173" s="5">
        <v>240.0</v>
      </c>
      <c r="H173" s="5">
        <v>240.0</v>
      </c>
      <c r="I173" s="5">
        <f t="shared" si="3"/>
        <v>0.0576</v>
      </c>
      <c r="J173" s="5">
        <v>100.0</v>
      </c>
      <c r="K173" s="5">
        <v>0.0</v>
      </c>
      <c r="L173" s="5">
        <v>0.0</v>
      </c>
      <c r="M173" s="5">
        <v>0.0</v>
      </c>
      <c r="N173" s="5" t="s">
        <v>734</v>
      </c>
      <c r="O173" s="5" t="s">
        <v>735</v>
      </c>
      <c r="P173" s="5" t="s">
        <v>736</v>
      </c>
      <c r="Q173" s="5" t="s">
        <v>734</v>
      </c>
      <c r="R173" s="5" t="s">
        <v>737</v>
      </c>
      <c r="S173" s="5">
        <v>36.0</v>
      </c>
      <c r="T173" s="5">
        <v>64.0</v>
      </c>
      <c r="U173" s="5">
        <v>22.0</v>
      </c>
      <c r="V173" s="5" t="s">
        <v>126</v>
      </c>
      <c r="W173" s="24" t="s">
        <v>1075</v>
      </c>
      <c r="X173" s="4"/>
      <c r="Y173" s="4"/>
      <c r="Z173" s="4"/>
    </row>
    <row r="174" ht="14.25" customHeight="1">
      <c r="A174" s="22"/>
      <c r="B174" s="23" t="s">
        <v>1116</v>
      </c>
      <c r="C174" s="5" t="s">
        <v>1117</v>
      </c>
      <c r="D174" s="5" t="s">
        <v>1074</v>
      </c>
      <c r="E174" s="5">
        <v>2.0</v>
      </c>
      <c r="F174" s="5">
        <v>17.0</v>
      </c>
      <c r="G174" s="5">
        <v>250.0</v>
      </c>
      <c r="H174" s="5">
        <v>250.0</v>
      </c>
      <c r="I174" s="5">
        <f t="shared" si="3"/>
        <v>0.0625</v>
      </c>
      <c r="J174" s="5">
        <v>50.0</v>
      </c>
      <c r="K174" s="5">
        <v>0.0</v>
      </c>
      <c r="L174" s="5">
        <v>0.0</v>
      </c>
      <c r="M174" s="5">
        <v>0.0</v>
      </c>
      <c r="N174" s="5" t="s">
        <v>734</v>
      </c>
      <c r="O174" s="5" t="s">
        <v>735</v>
      </c>
      <c r="P174" s="5" t="s">
        <v>736</v>
      </c>
      <c r="Q174" s="5" t="s">
        <v>734</v>
      </c>
      <c r="R174" s="5" t="s">
        <v>737</v>
      </c>
      <c r="S174" s="5">
        <v>48.0</v>
      </c>
      <c r="T174" s="5">
        <v>72.0</v>
      </c>
      <c r="U174" s="5">
        <v>22.0</v>
      </c>
      <c r="V174" s="5" t="s">
        <v>126</v>
      </c>
      <c r="W174" s="24" t="s">
        <v>1075</v>
      </c>
      <c r="X174" s="4"/>
      <c r="Y174" s="4"/>
      <c r="Z174" s="4"/>
    </row>
    <row r="175" ht="14.25" customHeight="1">
      <c r="A175" s="22"/>
      <c r="B175" s="23" t="s">
        <v>1118</v>
      </c>
      <c r="C175" s="5" t="s">
        <v>1119</v>
      </c>
      <c r="D175" s="5" t="s">
        <v>1074</v>
      </c>
      <c r="E175" s="5">
        <v>2.0</v>
      </c>
      <c r="F175" s="5">
        <v>17.0</v>
      </c>
      <c r="G175" s="5">
        <v>250.0</v>
      </c>
      <c r="H175" s="5">
        <v>250.0</v>
      </c>
      <c r="I175" s="5">
        <f t="shared" si="3"/>
        <v>0.0625</v>
      </c>
      <c r="J175" s="5">
        <v>100.0</v>
      </c>
      <c r="K175" s="5">
        <v>0.0</v>
      </c>
      <c r="L175" s="5">
        <v>0.0</v>
      </c>
      <c r="M175" s="5">
        <v>0.0</v>
      </c>
      <c r="N175" s="5" t="s">
        <v>734</v>
      </c>
      <c r="O175" s="5" t="s">
        <v>735</v>
      </c>
      <c r="P175" s="5" t="s">
        <v>736</v>
      </c>
      <c r="Q175" s="5" t="s">
        <v>734</v>
      </c>
      <c r="R175" s="5" t="s">
        <v>737</v>
      </c>
      <c r="S175" s="5">
        <v>36.0</v>
      </c>
      <c r="T175" s="5">
        <v>64.0</v>
      </c>
      <c r="U175" s="5">
        <v>22.0</v>
      </c>
      <c r="V175" s="5" t="s">
        <v>126</v>
      </c>
      <c r="W175" s="24" t="s">
        <v>1075</v>
      </c>
      <c r="X175" s="4"/>
      <c r="Y175" s="4"/>
      <c r="Z175" s="4"/>
    </row>
    <row r="176" ht="14.25" customHeight="1">
      <c r="A176" s="25"/>
      <c r="B176" s="30" t="s">
        <v>1120</v>
      </c>
      <c r="C176" s="31" t="s">
        <v>1117</v>
      </c>
      <c r="D176" s="31" t="s">
        <v>1074</v>
      </c>
      <c r="E176" s="31">
        <v>2.0</v>
      </c>
      <c r="F176" s="31">
        <v>17.0</v>
      </c>
      <c r="G176" s="31">
        <v>400.0</v>
      </c>
      <c r="H176" s="31">
        <v>400.0</v>
      </c>
      <c r="I176" s="31">
        <f t="shared" si="3"/>
        <v>0.16</v>
      </c>
      <c r="J176" s="31">
        <v>50.0</v>
      </c>
      <c r="K176" s="31">
        <v>0.0</v>
      </c>
      <c r="L176" s="31">
        <v>0.0</v>
      </c>
      <c r="M176" s="31">
        <v>0.0</v>
      </c>
      <c r="N176" s="31" t="s">
        <v>734</v>
      </c>
      <c r="O176" s="31" t="s">
        <v>735</v>
      </c>
      <c r="P176" s="31" t="s">
        <v>766</v>
      </c>
      <c r="Q176" s="31" t="s">
        <v>964</v>
      </c>
      <c r="R176" s="31" t="s">
        <v>737</v>
      </c>
      <c r="S176" s="31">
        <v>36.0</v>
      </c>
      <c r="T176" s="31">
        <v>60.0</v>
      </c>
      <c r="U176" s="31">
        <v>22.0</v>
      </c>
      <c r="V176" s="31" t="s">
        <v>126</v>
      </c>
      <c r="W176" s="34" t="s">
        <v>1075</v>
      </c>
      <c r="X176" s="4"/>
      <c r="Y176" s="4"/>
      <c r="Z176" s="4"/>
    </row>
    <row r="177" ht="14.25" customHeight="1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3">
    <mergeCell ref="B2:W2"/>
    <mergeCell ref="A3:A15"/>
    <mergeCell ref="A16:A21"/>
    <mergeCell ref="A22:A27"/>
    <mergeCell ref="A28:A36"/>
    <mergeCell ref="A37:A40"/>
    <mergeCell ref="A41:A47"/>
    <mergeCell ref="A83:A88"/>
    <mergeCell ref="A89:A93"/>
    <mergeCell ref="A94:A97"/>
    <mergeCell ref="A98:A102"/>
    <mergeCell ref="B103:W103"/>
    <mergeCell ref="A48:A51"/>
    <mergeCell ref="A52:A59"/>
    <mergeCell ref="A60:A65"/>
    <mergeCell ref="A66:A70"/>
    <mergeCell ref="A71:A74"/>
    <mergeCell ref="A75:A78"/>
    <mergeCell ref="A79:A82"/>
    <mergeCell ref="A146:A148"/>
    <mergeCell ref="A149:A153"/>
    <mergeCell ref="B154:W154"/>
    <mergeCell ref="A155:A160"/>
    <mergeCell ref="A161:A166"/>
    <mergeCell ref="A167:A171"/>
    <mergeCell ref="A172:A176"/>
    <mergeCell ref="A104:A111"/>
    <mergeCell ref="A112:A120"/>
    <mergeCell ref="A121:A126"/>
    <mergeCell ref="A127:A130"/>
    <mergeCell ref="A131:A134"/>
    <mergeCell ref="A135:A140"/>
    <mergeCell ref="A141:A14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2.88"/>
    <col customWidth="1" min="3" max="3" width="28.75"/>
    <col customWidth="1" min="4" max="4" width="14.0"/>
    <col customWidth="1" min="5" max="26" width="8.63"/>
  </cols>
  <sheetData>
    <row r="1" ht="14.25" customHeight="1">
      <c r="A1" s="10" t="s">
        <v>1121</v>
      </c>
      <c r="B1" s="10" t="s">
        <v>1122</v>
      </c>
      <c r="C1" s="10" t="s">
        <v>1123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46" t="s">
        <v>1124</v>
      </c>
      <c r="B2" s="46">
        <v>1.0</v>
      </c>
      <c r="C2" s="46" t="s">
        <v>1125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4.25" customHeight="1">
      <c r="A3" s="46" t="s">
        <v>1126</v>
      </c>
      <c r="B3" s="46">
        <v>1.03</v>
      </c>
      <c r="C3" s="46" t="s">
        <v>1127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46" t="s">
        <v>1128</v>
      </c>
      <c r="B4" s="46">
        <v>1.06</v>
      </c>
      <c r="C4" s="46" t="s">
        <v>1129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46" t="s">
        <v>1130</v>
      </c>
      <c r="B5" s="46">
        <v>1.1</v>
      </c>
      <c r="C5" s="46" t="s">
        <v>1131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46" t="s">
        <v>1132</v>
      </c>
      <c r="B6" s="46">
        <v>1.15</v>
      </c>
      <c r="C6" s="46" t="s">
        <v>1133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10" t="s">
        <v>1134</v>
      </c>
      <c r="B9" s="10" t="s">
        <v>1122</v>
      </c>
      <c r="C9" s="10" t="s">
        <v>1123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46" t="s">
        <v>1135</v>
      </c>
      <c r="B10" s="46">
        <v>1.0</v>
      </c>
      <c r="C10" s="46" t="s">
        <v>1136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46" t="s">
        <v>1137</v>
      </c>
      <c r="B11" s="46">
        <v>1.12</v>
      </c>
      <c r="C11" s="46" t="s">
        <v>1138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10" t="s">
        <v>1139</v>
      </c>
      <c r="B14" s="10" t="s">
        <v>1140</v>
      </c>
      <c r="C14" s="10" t="s">
        <v>1141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46" t="s">
        <v>1142</v>
      </c>
      <c r="B15" s="46" t="s">
        <v>1143</v>
      </c>
      <c r="C15" s="46" t="s">
        <v>1144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46" t="s">
        <v>1145</v>
      </c>
      <c r="B16" s="46" t="s">
        <v>1146</v>
      </c>
      <c r="C16" s="46" t="s">
        <v>1147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46" t="s">
        <v>1148</v>
      </c>
      <c r="B17" s="46" t="s">
        <v>1149</v>
      </c>
      <c r="C17" s="46" t="s">
        <v>1150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46" t="s">
        <v>1151</v>
      </c>
      <c r="B18" s="46" t="s">
        <v>1146</v>
      </c>
      <c r="C18" s="46" t="s">
        <v>1152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46" t="s">
        <v>1124</v>
      </c>
      <c r="B19" s="46" t="s">
        <v>1153</v>
      </c>
      <c r="C19" s="46" t="s">
        <v>1154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10" t="s">
        <v>1155</v>
      </c>
      <c r="B22" s="10" t="s">
        <v>1156</v>
      </c>
      <c r="C22" s="10" t="s">
        <v>1123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46" t="s">
        <v>1157</v>
      </c>
      <c r="B23" s="46">
        <v>3.0</v>
      </c>
      <c r="C23" s="46" t="s">
        <v>1158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46" t="s">
        <v>1159</v>
      </c>
      <c r="B24" s="46">
        <v>12.0</v>
      </c>
      <c r="C24" s="46" t="s">
        <v>1160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46" t="s">
        <v>1161</v>
      </c>
      <c r="B25" s="46">
        <v>5.0</v>
      </c>
      <c r="C25" s="46" t="s">
        <v>1162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10" t="s">
        <v>1163</v>
      </c>
      <c r="B28" s="10" t="s">
        <v>1164</v>
      </c>
      <c r="C28" s="10" t="s">
        <v>1123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46" t="s">
        <v>738</v>
      </c>
      <c r="B29" s="46">
        <v>0.0</v>
      </c>
      <c r="C29" s="46" t="s">
        <v>1165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46" t="s">
        <v>825</v>
      </c>
      <c r="B30" s="46">
        <v>3000.0</v>
      </c>
      <c r="C30" s="46" t="s">
        <v>1166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46" t="s">
        <v>1167</v>
      </c>
      <c r="B31" s="46">
        <v>2500.0</v>
      </c>
      <c r="C31" s="46" t="s">
        <v>1168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46" t="s">
        <v>1075</v>
      </c>
      <c r="B32" s="46">
        <v>2000.0</v>
      </c>
      <c r="C32" s="46" t="s">
        <v>1169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46" t="s">
        <v>1170</v>
      </c>
      <c r="B33" s="46">
        <v>5000.0</v>
      </c>
      <c r="C33" s="46" t="s">
        <v>1171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10" t="s">
        <v>1172</v>
      </c>
      <c r="B36" s="10" t="s">
        <v>1173</v>
      </c>
      <c r="C36" s="10" t="s">
        <v>1174</v>
      </c>
      <c r="D36" s="10" t="s">
        <v>1175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46" t="s">
        <v>1176</v>
      </c>
      <c r="B37" s="46">
        <v>3500.0</v>
      </c>
      <c r="C37" s="46">
        <v>30.0</v>
      </c>
      <c r="D37" s="46" t="s">
        <v>1177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46" t="s">
        <v>1178</v>
      </c>
      <c r="B38" s="46">
        <v>2800.0</v>
      </c>
      <c r="C38" s="46">
        <v>22.0</v>
      </c>
      <c r="D38" s="46" t="s">
        <v>1177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46" t="s">
        <v>1179</v>
      </c>
      <c r="B39" s="46">
        <v>3000.0</v>
      </c>
      <c r="C39" s="46">
        <v>24.0</v>
      </c>
      <c r="D39" s="46" t="s">
        <v>1180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46" t="s">
        <v>1181</v>
      </c>
      <c r="B40" s="46">
        <v>4000.0</v>
      </c>
      <c r="C40" s="46">
        <v>35.0</v>
      </c>
      <c r="D40" s="46" t="s">
        <v>1180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46" t="s">
        <v>1182</v>
      </c>
      <c r="B41" s="46">
        <v>2200.0</v>
      </c>
      <c r="C41" s="46">
        <v>22.0</v>
      </c>
      <c r="D41" s="46" t="s">
        <v>1183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46" t="s">
        <v>1184</v>
      </c>
      <c r="B42" s="46">
        <v>2400.0</v>
      </c>
      <c r="C42" s="46">
        <v>24.0</v>
      </c>
      <c r="D42" s="46" t="s">
        <v>1183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46" t="s">
        <v>1185</v>
      </c>
      <c r="B43" s="46">
        <v>2600.0</v>
      </c>
      <c r="C43" s="46">
        <v>25.0</v>
      </c>
      <c r="D43" s="46" t="s">
        <v>1186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46" t="s">
        <v>1187</v>
      </c>
      <c r="B44" s="46">
        <v>1200.0</v>
      </c>
      <c r="C44" s="46">
        <v>8.0</v>
      </c>
      <c r="D44" s="46" t="s">
        <v>1177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46" t="s">
        <v>1188</v>
      </c>
      <c r="B45" s="46">
        <v>2000.0</v>
      </c>
      <c r="C45" s="46">
        <v>18.0</v>
      </c>
      <c r="D45" s="46" t="s">
        <v>1177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10" t="s">
        <v>1189</v>
      </c>
      <c r="B48" s="10" t="s">
        <v>1190</v>
      </c>
      <c r="C48" s="10" t="s">
        <v>1191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46">
        <v>40.0</v>
      </c>
      <c r="B49" s="46">
        <v>2.5</v>
      </c>
      <c r="C49" s="46" t="s">
        <v>1192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46">
        <v>76.0</v>
      </c>
      <c r="B50" s="46">
        <v>5.0</v>
      </c>
      <c r="C50" s="46" t="s">
        <v>1193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customHeight="1">
      <c r="A51" s="46">
        <v>0.0</v>
      </c>
      <c r="B51" s="46">
        <v>0.0</v>
      </c>
      <c r="C51" s="46" t="s">
        <v>1194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4.2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4.2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4.2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4.2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4.2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4.2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4.2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4.2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4.2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4.2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4.2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4.2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4.2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4.2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4.2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4.2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4.2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4.2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4.2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4.2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4.2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4.2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4.2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4.2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4.2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4.2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4.2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4.2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4.2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4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4.2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4.2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4.2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4.2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4.2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4.2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4.2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4.2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4.2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4.2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4.2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4.2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4.2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4.2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4.2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4.2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4.2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4.2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4.2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4.2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4.2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4.2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4.2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4.2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4.2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4.2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4.2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4.2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4.2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4.2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4.2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4.2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4.2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4.2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4.2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4.2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4.2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4.2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4.2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4.2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4.2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4.2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4.2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4.2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4.2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4.2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4.2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4.2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4.2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4.2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4.2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4.2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4.2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4.2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4.2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4.2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4.2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4.2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4.2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4.2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4.2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4.2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4.2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4.2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4.2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4.2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4.2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4.2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4.2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4.2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4.2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4.2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4.2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4.2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4.2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4.2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4.2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4.2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4.2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4.2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4.2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4.2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4.2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4.2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4.2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4.2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4.2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4.2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4.2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4.2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4.2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4.2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4.2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4.2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4.2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4.2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4.2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4.2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4.2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4.2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4.2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4.2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4.2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4.2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4.2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4.2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4.2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4.2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4.2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4.2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4.2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4.2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4.2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4.2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4.2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4.2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4.2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4.2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4.2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4.2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4.2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4.2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4.2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4.2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4.2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4.2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4.2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4.2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4.2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4.2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4.2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4.2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4.2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4.2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4.2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4.2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4.2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4.2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4.2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4.2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4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4.2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4.2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4.2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4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4.2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4.2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4.2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4.2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4.2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4.2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4.2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4.2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4.2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4.2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4.2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4.2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4.2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4.2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4.2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4.2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4.2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4.2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4.2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4.2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4.2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4.2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4.2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4.2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4.2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4.2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4.2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4.2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4.2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4.2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4.2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4.2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4.2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4.2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4.2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4.2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4.2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4.2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4.2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4.2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4.2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4.2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4.2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4.2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4.2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4.2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4.2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4.2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4.2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4.2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4.2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4.2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4.2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4.2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4.2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4.2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4.2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4.2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4.2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4.2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4.2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4.2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4.2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4.2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4.2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4.2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4.2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4.2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4.2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4.2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4.2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4.2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4.2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4.2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4.2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4.2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4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4.2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4.2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4.2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4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4.2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4.2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4.2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4.2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4.2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4.2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4.2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4.2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4.2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4.2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4.2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4.2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4.2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4.2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4.2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4.2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4.2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4.2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4.2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4.2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4.2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4.2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4.2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4.2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4.2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4.2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4.2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4.2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4.2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4.2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4.2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4.2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4.2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4.2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4.2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4.2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4.2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4.2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4.2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4.2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4.2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4.2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4.2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4.2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4.2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4.2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4.2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4.2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4.2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4.2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4.2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4.2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4.2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4.2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4.2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4.2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4.2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4.2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4.2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4.2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4.2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4.2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4.2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4.2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4.2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4.2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4.2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4.2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4.2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4.2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4.2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4.2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4.2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4.2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4.2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4.2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4.2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4.2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4.2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4.2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4.2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4.2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4.2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4.2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4.2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4.2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4.2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4.2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4.2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4.2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4.2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4.2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4.2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4.2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4.2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4.2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4.2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4.2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4.2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4.2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4.2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4.2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4.2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4.2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4.2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4.2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4.2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4.2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4.2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4.2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4.2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4.2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4.2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4.2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4.2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4.2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4.2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4.2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4.2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4.2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4.2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4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4.2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4.2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4.2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4.2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4.2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4.2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4.2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4.2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4.2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4.2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4.2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4.2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4.2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4.2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4.2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4.2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4.2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4.2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4.2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4.2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4.2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4.2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4.2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4.2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4.2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4.2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4.2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4.2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4.2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4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4.2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4.2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4.2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4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4.2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4.2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4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4.2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4.2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4.2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4.2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4.2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4.2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4.2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4.2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4.2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4.2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4.2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4.2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4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4.2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4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4.2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4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4.2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4.2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4.2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4.2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4.2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4.2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4.2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4.2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4.2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4.2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4.2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4.2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4.2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4.2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4.2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4.2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4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4.2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4.2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4.2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4.2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4.2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4.2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4.2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4.2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4.2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4.2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4.2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4.2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4.2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4.2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4.2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4.2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4.2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4.2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4.2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4.2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4.2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4.2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4.2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4.2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4.2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4.2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4.2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4.2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4.2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4.2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4.2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4.2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4.2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4.2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4.2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4.2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4.2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4.2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4.2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4.2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4.2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4.2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4.2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4.2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4.2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4.2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4.2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4.2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4.2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4.2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4.2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4.2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4.2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4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4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4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4.2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4.2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4.2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4.2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4.2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9.13"/>
    <col customWidth="1" min="2" max="2" width="25.88"/>
    <col customWidth="1" min="3" max="3" width="27.63"/>
    <col customWidth="1" min="4" max="4" width="12.0"/>
    <col customWidth="1" min="5" max="6" width="8.88"/>
    <col customWidth="1" min="7" max="26" width="8.63"/>
  </cols>
  <sheetData>
    <row r="1" ht="14.25" customHeight="1">
      <c r="A1" s="47" t="s">
        <v>1195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9" t="s">
        <v>1196</v>
      </c>
      <c r="B3" s="48" t="s">
        <v>812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0" t="s">
        <v>1197</v>
      </c>
      <c r="B5" s="10" t="s">
        <v>1198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1199</v>
      </c>
      <c r="B6" s="5" t="str">
        <f>IFERROR(VLOOKUP($B$3,'Input Products'!$B:$W,2,FALSE),"SelectProduct")</f>
        <v> Toilet Roll 2P 200Sht Recy  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1200</v>
      </c>
      <c r="B7" s="5" t="str">
        <f>IFERROR(VLOOKUP($B$3,'Input Products'!$B:$W,3,FALSE),"")</f>
        <v>TT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1201</v>
      </c>
      <c r="B8" s="5">
        <f>IFERROR(VLOOKUP($B$3,'Input Products'!$B:$W,4,FALSE),"")</f>
        <v>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1202</v>
      </c>
      <c r="B9" s="5">
        <f>IFERROR(VLOOKUP($B$3,'Input Products'!$B:$W,5,FALSE),"")</f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1203</v>
      </c>
      <c r="B10" s="5">
        <f>B8*B9</f>
        <v>34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1204</v>
      </c>
      <c r="B11" s="5">
        <f>IFERROR(VLOOKUP($B$3,'Input Products'!$B:$W,6,FALSE),"")</f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1205</v>
      </c>
      <c r="B12" s="5">
        <f>IFERROR(VLOOKUP($B$3,'Input Products'!$B:$W,7,FALSE),"")</f>
        <v>114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1206</v>
      </c>
      <c r="B13" s="5">
        <f>IFERROR(VLOOKUP($B$3,'Input Products'!$B:$W,8,FALSE),"")</f>
        <v>0.0114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1207</v>
      </c>
      <c r="B14" s="5">
        <f>IFERROR(VLOOKUP($B$3,'Input Products'!$B:$W,9,FALSE),"")</f>
        <v>200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1208</v>
      </c>
      <c r="B15" s="5">
        <f>IFERROR(VLOOKUP($B$3,'Input Products'!$B:$W,10,FALSE),"")</f>
        <v>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1209</v>
      </c>
      <c r="B16" s="5">
        <f>IFERROR(VLOOKUP($B$3,'Input Products'!$B:$W,11,FALSE),"")</f>
        <v>40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">
        <v>1210</v>
      </c>
      <c r="B17" s="5" t="str">
        <f>IFERROR(VLOOKUP($B$3,'Input Products'!$B:$W,13,FALSE),"")</f>
        <v>No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">
        <v>1211</v>
      </c>
      <c r="B18" s="5" t="str">
        <f>IFERROR(VLOOKUP($B$3,'Input Products'!$B:$W,14,FALSE),"")</f>
        <v>White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 t="s">
        <v>1212</v>
      </c>
      <c r="B19" s="5" t="str">
        <f>IFERROR(VLOOKUP($B$3,'Input Products'!$B:$W,15,FALSE),"")</f>
        <v>Light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 t="s">
        <v>1213</v>
      </c>
      <c r="B20" s="5" t="str">
        <f>IFERROR(VLOOKUP($B$3,'Input Products'!$B:$W,16,FALSE),"")</f>
        <v>No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 t="s">
        <v>1214</v>
      </c>
      <c r="B21" s="5" t="str">
        <f>IFERROR(VLOOKUP($B$3,'Input Products'!$B:$W,17,FALSE),"")</f>
        <v>Plain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 t="s">
        <v>1215</v>
      </c>
      <c r="B22" s="5">
        <f>IFERROR(VLOOKUP($B$3,'Input Products'!$B:$W,18,FALSE),"")</f>
        <v>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 t="s">
        <v>1216</v>
      </c>
      <c r="B23" s="5">
        <f>IFERROR(VLOOKUP($B$3,'Input Products'!$B:$W,19,FALSE),"")</f>
        <v>60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 t="s">
        <v>1217</v>
      </c>
      <c r="B24" s="5">
        <f>IFERROR(VLOOKUP($B$3,'Input Products'!$B:$W,20,FALSE),"")</f>
        <v>20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 t="s">
        <v>1218</v>
      </c>
      <c r="B25" s="5" t="str">
        <f>IFERROR(VLOOKUP($B$3,'Input Products'!$B:$W,21,FALSE),"")</f>
        <v>R-1P-17-R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 t="s">
        <v>1219</v>
      </c>
      <c r="B26" s="5" t="str">
        <f>IFERROR(VLOOKUP($B$3,'Input Products'!$B:$W,22,FALSE),"")</f>
        <v>None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7" t="s">
        <v>1220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 t="s">
        <v>1221</v>
      </c>
      <c r="B30" s="5" t="str">
        <f>B25</f>
        <v>R-1P-17-R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 t="s">
        <v>1222</v>
      </c>
      <c r="B31" s="5">
        <f>IFERROR(VLOOKUP($B$30,'Input Reels'!$B:$M,12,FALSE),"NoReelMatch")</f>
        <v>62000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 t="s">
        <v>1223</v>
      </c>
      <c r="B32" s="49">
        <f>IFERROR(B31/'Input Costs'!$B$6," ")</f>
        <v>676.9297958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0" t="s">
        <v>1224</v>
      </c>
      <c r="B35" s="10" t="s">
        <v>1225</v>
      </c>
      <c r="C35" s="10" t="s">
        <v>1226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 t="s">
        <v>1227</v>
      </c>
      <c r="B36" s="8">
        <f>IFERROR(B8*B9*B13*B14,"")</f>
        <v>77.52</v>
      </c>
      <c r="C36" s="5" t="s">
        <v>1228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 t="s">
        <v>1229</v>
      </c>
      <c r="B37" s="50">
        <f>'Input Costs'!B54</f>
        <v>1.055</v>
      </c>
      <c r="C37" s="5" t="s">
        <v>1230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 t="s">
        <v>1231</v>
      </c>
      <c r="B38" s="49">
        <f>IFERROR(B36*B37,"")</f>
        <v>81.7836</v>
      </c>
      <c r="C38" s="5" t="s">
        <v>1232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 t="s">
        <v>1208</v>
      </c>
      <c r="B39" s="5">
        <f>B15</f>
        <v>8</v>
      </c>
      <c r="C39" s="5" t="s">
        <v>1233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 t="s">
        <v>1234</v>
      </c>
      <c r="B40" s="5">
        <f>IFERROR(B38+B39,"")</f>
        <v>89.7836</v>
      </c>
      <c r="C40" s="5" t="s">
        <v>1235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 t="s">
        <v>1236</v>
      </c>
      <c r="B41" s="49">
        <f>1000000/B40</f>
        <v>11137.89155</v>
      </c>
      <c r="C41" s="5" t="s">
        <v>1237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5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9" t="s">
        <v>1238</v>
      </c>
      <c r="B43" s="10" t="s">
        <v>1239</v>
      </c>
      <c r="C43" s="10" t="s">
        <v>1240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/>
      <c r="B44" s="5"/>
      <c r="C44" s="5"/>
      <c r="D44" s="4" t="s">
        <v>1241</v>
      </c>
      <c r="E44" s="4" t="s">
        <v>1242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0" t="s">
        <v>1243</v>
      </c>
      <c r="B45" s="5" t="s">
        <v>1241</v>
      </c>
      <c r="C45" s="5" t="s">
        <v>1242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 t="s">
        <v>1244</v>
      </c>
      <c r="B46" s="49">
        <f>B38</f>
        <v>81.7836</v>
      </c>
      <c r="C46" s="5" t="s">
        <v>1245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 t="s">
        <v>1246</v>
      </c>
      <c r="B47" s="5">
        <f>IFERROR((B37/1000000)*B46,"")</f>
        <v>0.000086281698</v>
      </c>
      <c r="C47" s="52">
        <f>IFERROR(B47/'Input Costs'!$B$6," ")</f>
        <v>0.0000009420427776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 t="s">
        <v>67</v>
      </c>
      <c r="B48" s="5"/>
      <c r="C48" s="5" t="s">
        <v>1242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0" t="s">
        <v>1247</v>
      </c>
      <c r="B49" s="5"/>
      <c r="C49" s="5" t="s">
        <v>1242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 t="s">
        <v>1248</v>
      </c>
      <c r="B50" s="5">
        <f>IFERROR(VLOOKUP(B16,'LookUp Value'!$A$49:$B$51,2,FALSE),0)</f>
        <v>2.5</v>
      </c>
      <c r="C50" s="5">
        <f>IFERROR(B50/'Input Costs'!$B$6,"")</f>
        <v>0.02729555628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 t="s">
        <v>67</v>
      </c>
      <c r="B51" s="5" t="s">
        <v>1241</v>
      </c>
      <c r="C51" s="5" t="s">
        <v>1242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0" t="s">
        <v>1249</v>
      </c>
      <c r="B52" s="5" t="s">
        <v>1241</v>
      </c>
      <c r="C52" s="5" t="s">
        <v>1242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 t="s">
        <v>1250</v>
      </c>
      <c r="B53" s="5">
        <f>IFERROR('Input Costs'!$B$18,"")</f>
        <v>16800</v>
      </c>
      <c r="C53" s="5" t="s">
        <v>1251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" t="s">
        <v>1252</v>
      </c>
      <c r="B54" s="5">
        <f>IFERROR(VLOOKUP(B19,'LookUp Value'!$A$2:$B$6,2,FALSE),1)</f>
        <v>1</v>
      </c>
      <c r="C54" s="5" t="s">
        <v>1253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" t="s">
        <v>1254</v>
      </c>
      <c r="B55" s="5">
        <f>IFERROR(VLOOKUP(B20,'LookUp Value'!$A$10:$B$11,2,FALSE),1)</f>
        <v>1</v>
      </c>
      <c r="C55" s="5" t="s">
        <v>1253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" t="s">
        <v>1255</v>
      </c>
      <c r="B56" s="5">
        <f>B54*B55</f>
        <v>1</v>
      </c>
      <c r="C56" s="5" t="s">
        <v>1256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" t="s">
        <v>1257</v>
      </c>
      <c r="B57" s="5">
        <f>IFERROR(B56*B54,"")</f>
        <v>1</v>
      </c>
      <c r="C57" s="5" t="s">
        <v>1258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 t="s">
        <v>1259</v>
      </c>
      <c r="B58" s="5">
        <f>IFERROR(B57/B41,"")</f>
        <v>0.0000897836</v>
      </c>
      <c r="C58" s="5">
        <f>IFERROR(B57/'Input Costs'!$B$6,"")</f>
        <v>0.01091822251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 t="s">
        <v>67</v>
      </c>
      <c r="B59" s="5" t="s">
        <v>1241</v>
      </c>
      <c r="C59" s="5" t="s">
        <v>1242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0" t="s">
        <v>1260</v>
      </c>
      <c r="B60" s="5" t="s">
        <v>1241</v>
      </c>
      <c r="C60" s="5" t="s">
        <v>1242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" t="s">
        <v>1261</v>
      </c>
      <c r="B61" s="5">
        <f>IF(B20="Yes",'Input Costs'!$B$21,IF(B20="No",0,'Input Costs'!$B$22))</f>
        <v>0</v>
      </c>
      <c r="C61" s="5" t="s">
        <v>1262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" t="s">
        <v>1263</v>
      </c>
      <c r="B62" s="5">
        <f>IFERROR(VLOOKUP(B7,'LookUp Value'!$A$23:$B$25,2,FALSE),5)</f>
        <v>5</v>
      </c>
      <c r="C62" s="5" t="s">
        <v>1264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" t="s">
        <v>1265</v>
      </c>
      <c r="B63" s="5">
        <f>IFERROR((B62/1000)*B61,"")</f>
        <v>0</v>
      </c>
      <c r="C63" s="5">
        <f>IFERROR(B63/'Input Costs'!$B$6,"")</f>
        <v>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" t="s">
        <v>1266</v>
      </c>
      <c r="B64" s="5">
        <f>IFERROR('Input Costs'!$B$24/B23,"")</f>
        <v>0.6666666667</v>
      </c>
      <c r="C64" s="5">
        <f>IFERROR(B64/'Input Costs'!$B$6,"")</f>
        <v>0.007278815009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 t="s">
        <v>1267</v>
      </c>
      <c r="B65" s="5">
        <f>IFERROR(('Input Costs'!$B$25+'Input Costs'!$B$26)/B23,"")</f>
        <v>0.08333333333</v>
      </c>
      <c r="C65" s="5">
        <f>IFERROR(B65/'Input Costs'!$B$6,"")</f>
        <v>0.0009098518761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 t="s">
        <v>1268</v>
      </c>
      <c r="B66" s="5">
        <f>IFERROR(('Input Costs'!$B$27+'Input Costs'!$B$28)/(B23*B24),"")</f>
        <v>0.5166666667</v>
      </c>
      <c r="C66" s="5">
        <f>IFERROR(B66/'Input Costs'!$B$6,"")</f>
        <v>0.005641081632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" t="s">
        <v>1269</v>
      </c>
      <c r="B67" s="5">
        <f>IFERROR(SUM(B63:B66),"")</f>
        <v>1.266666667</v>
      </c>
      <c r="C67" s="5">
        <f>IFERROR(B67/'Input Costs'!$B$6,"")</f>
        <v>0.01382974852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 t="s">
        <v>67</v>
      </c>
      <c r="B68" s="5" t="s">
        <v>1241</v>
      </c>
      <c r="C68" s="5" t="s">
        <v>1242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0" t="s">
        <v>1270</v>
      </c>
      <c r="B69" s="5" t="s">
        <v>1241</v>
      </c>
      <c r="C69" s="5" t="s">
        <v>1242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 t="s">
        <v>1271</v>
      </c>
      <c r="B70" s="5">
        <f>IFERROR('Input Costs'!$B$47,"")</f>
        <v>6650</v>
      </c>
      <c r="C70" s="5" t="s">
        <v>1251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 t="s">
        <v>1272</v>
      </c>
      <c r="B71" s="5">
        <f>IFERROR(B70/B41,"")</f>
        <v>0.59706094</v>
      </c>
      <c r="C71" s="5">
        <f>IFERROR(B71/'Input Costs'!$B$6,"")</f>
        <v>0.006518844197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 t="s">
        <v>67</v>
      </c>
      <c r="B72" s="5" t="s">
        <v>1241</v>
      </c>
      <c r="C72" s="5" t="s">
        <v>1242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0" t="s">
        <v>1273</v>
      </c>
      <c r="B73" s="5" t="s">
        <v>1241</v>
      </c>
      <c r="C73" s="5" t="s">
        <v>1242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" t="s">
        <v>1274</v>
      </c>
      <c r="B74" s="5">
        <f>IFERROR(VLOOKUP(B26,'LookUp Value'!$A$29:$B$33,2,FALSE),0)</f>
        <v>0</v>
      </c>
      <c r="C74" s="5" t="s">
        <v>1253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" t="s">
        <v>1275</v>
      </c>
      <c r="B75" s="5">
        <f>IFERROR(B74/B41,"")</f>
        <v>0</v>
      </c>
      <c r="C75" s="5">
        <f>IFERROR(B75/'Input Costs'!$B$6,"")</f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0" t="s">
        <v>1276</v>
      </c>
      <c r="B78" s="10" t="s">
        <v>1277</v>
      </c>
      <c r="C78" s="10" t="s">
        <v>1278</v>
      </c>
      <c r="D78" s="10" t="s">
        <v>1279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" t="s">
        <v>1280</v>
      </c>
      <c r="B79" s="49">
        <f t="shared" ref="B79:C79" si="1">B47</f>
        <v>0.000086281698</v>
      </c>
      <c r="C79" s="52">
        <f t="shared" si="1"/>
        <v>0.0000009420427776</v>
      </c>
      <c r="D79" s="5">
        <f t="shared" ref="D79:D84" si="3">B79/$B$85</f>
        <v>0.00002290557481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5" t="s">
        <v>1281</v>
      </c>
      <c r="B80" s="5">
        <f t="shared" ref="B80:C80" si="2">B50</f>
        <v>2.5</v>
      </c>
      <c r="C80" s="5">
        <f t="shared" si="2"/>
        <v>0.02729555628</v>
      </c>
      <c r="D80" s="5">
        <f t="shared" si="3"/>
        <v>0.6636857915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" t="s">
        <v>1282</v>
      </c>
      <c r="B81" s="5">
        <f t="shared" ref="B81:C81" si="4">B58</f>
        <v>0.0000897836</v>
      </c>
      <c r="C81" s="5">
        <f t="shared" si="4"/>
        <v>0.01091822251</v>
      </c>
      <c r="D81" s="5">
        <f t="shared" si="3"/>
        <v>0.00002383523985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" t="s">
        <v>1283</v>
      </c>
      <c r="B82" s="5">
        <f t="shared" ref="B82:C82" si="5">B67</f>
        <v>1.266666667</v>
      </c>
      <c r="C82" s="5">
        <f t="shared" si="5"/>
        <v>0.01382974852</v>
      </c>
      <c r="D82" s="5">
        <f t="shared" si="3"/>
        <v>0.3362674677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5" t="s">
        <v>1284</v>
      </c>
      <c r="B83" s="5">
        <f t="shared" ref="B83:C83" si="6">B71</f>
        <v>0.59706094</v>
      </c>
      <c r="C83" s="5">
        <f t="shared" si="6"/>
        <v>0.006518844197</v>
      </c>
      <c r="D83" s="5">
        <f t="shared" si="3"/>
        <v>0.158504345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5" t="s">
        <v>1285</v>
      </c>
      <c r="B84" s="5">
        <f t="shared" ref="B84:C84" si="7">B75</f>
        <v>0</v>
      </c>
      <c r="C84" s="5">
        <f t="shared" si="7"/>
        <v>0</v>
      </c>
      <c r="D84" s="5">
        <f t="shared" si="3"/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5" t="s">
        <v>1286</v>
      </c>
      <c r="B85" s="5">
        <f t="shared" ref="B85:C85" si="8">SUM(B78:B82)</f>
        <v>3.766842732</v>
      </c>
      <c r="C85" s="5">
        <f t="shared" si="8"/>
        <v>0.05204446936</v>
      </c>
      <c r="D85" s="14">
        <v>1.0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 t="s">
        <v>67</v>
      </c>
      <c r="B87" s="4" t="s">
        <v>25</v>
      </c>
      <c r="C87" s="4" t="s">
        <v>25</v>
      </c>
      <c r="D87" s="4" t="s">
        <v>25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13" t="s">
        <v>1287</v>
      </c>
      <c r="B88" s="13" t="s">
        <v>1277</v>
      </c>
      <c r="C88" s="13" t="s">
        <v>1278</v>
      </c>
      <c r="D88" s="4" t="s">
        <v>25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 t="s">
        <v>1288</v>
      </c>
      <c r="B89" s="4">
        <f>B85*B22</f>
        <v>180.8084511</v>
      </c>
      <c r="C89" s="4">
        <f>C85*B22</f>
        <v>2.498134529</v>
      </c>
      <c r="D89" s="4" t="s">
        <v>25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 t="s">
        <v>1289</v>
      </c>
      <c r="B90" s="4">
        <f t="shared" ref="B90:B91" si="9">B89*B23</f>
        <v>10848.50707</v>
      </c>
      <c r="C90" s="4">
        <f t="shared" ref="C90:C91" si="10">C89*B23</f>
        <v>149.8880717</v>
      </c>
      <c r="D90" s="4" t="s">
        <v>25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 t="s">
        <v>1290</v>
      </c>
      <c r="B91" s="4">
        <f t="shared" si="9"/>
        <v>216970.1414</v>
      </c>
      <c r="C91" s="4">
        <f t="shared" si="10"/>
        <v>2997.761435</v>
      </c>
      <c r="D91" s="4" t="s">
        <v>25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 t="s">
        <v>1291</v>
      </c>
      <c r="B92" s="4">
        <f>B85*B41</f>
        <v>41954.68584</v>
      </c>
      <c r="C92" s="4">
        <f>C85*B41</f>
        <v>579.6656556</v>
      </c>
      <c r="D92" s="4" t="s">
        <v>25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 t="s">
        <v>67</v>
      </c>
      <c r="B93" s="4" t="s">
        <v>25</v>
      </c>
      <c r="C93" s="4" t="s">
        <v>25</v>
      </c>
      <c r="D93" s="4" t="s">
        <v>25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13" t="s">
        <v>1292</v>
      </c>
      <c r="B94" s="13" t="s">
        <v>1277</v>
      </c>
      <c r="C94" s="13" t="s">
        <v>1278</v>
      </c>
      <c r="D94" s="4" t="s">
        <v>25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 t="s">
        <v>1293</v>
      </c>
      <c r="B95" s="4">
        <f t="shared" ref="B95:C95" si="11">B85/(1-0.1)</f>
        <v>4.185380813</v>
      </c>
      <c r="C95" s="4">
        <f t="shared" si="11"/>
        <v>0.05782718817</v>
      </c>
      <c r="D95" s="4" t="s">
        <v>25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 t="s">
        <v>1294</v>
      </c>
      <c r="B96" s="4">
        <f t="shared" ref="B96:C96" si="12">B85/(1-0.15)</f>
        <v>4.431579685</v>
      </c>
      <c r="C96" s="4">
        <f t="shared" si="12"/>
        <v>0.06122878748</v>
      </c>
      <c r="D96" s="4" t="s">
        <v>25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 t="s">
        <v>1295</v>
      </c>
      <c r="B97" s="4">
        <f t="shared" ref="B97:C97" si="13">B85/(1-0.2)</f>
        <v>4.708553415</v>
      </c>
      <c r="C97" s="4">
        <f t="shared" si="13"/>
        <v>0.0650555867</v>
      </c>
      <c r="D97" s="4" t="s">
        <v>25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 t="s">
        <v>1296</v>
      </c>
      <c r="B98" s="4">
        <f t="shared" ref="B98:C98" si="14">B85/(1-0.25)</f>
        <v>5.022456976</v>
      </c>
      <c r="C98" s="4">
        <f t="shared" si="14"/>
        <v>0.06939262581</v>
      </c>
      <c r="D98" s="4" t="s">
        <v>25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1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1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C1"/>
  </mergeCells>
  <dataValidations>
    <dataValidation type="list" allowBlank="1" showErrorMessage="1" sqref="B3">
      <formula1>'Input Products'!$B:$B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25"/>
    <col customWidth="1" min="2" max="2" width="31.38"/>
    <col customWidth="1" min="3" max="3" width="27.25"/>
    <col customWidth="1" min="4" max="6" width="8.88"/>
    <col customWidth="1" min="7" max="26" width="8.63"/>
  </cols>
  <sheetData>
    <row r="1" ht="14.25" customHeight="1">
      <c r="A1" s="1" t="s">
        <v>1297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67</v>
      </c>
      <c r="B2" s="4" t="s">
        <v>1298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3" t="s">
        <v>1299</v>
      </c>
      <c r="B3" s="5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1300</v>
      </c>
      <c r="B4" s="5" t="str">
        <f>'Calc Products'!B3</f>
        <v> TT-2P-200-R  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1199</v>
      </c>
      <c r="B5" s="5" t="str">
        <f>'Calc Products'!B6</f>
        <v> Toilet Roll 2P 200Sht Recy  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1301</v>
      </c>
      <c r="B6" s="55" t="s">
        <v>1179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1302</v>
      </c>
      <c r="B7" s="56">
        <v>100000.0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1303</v>
      </c>
      <c r="B8" s="55" t="s">
        <v>1304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3" t="s">
        <v>1305</v>
      </c>
      <c r="B10" s="57"/>
      <c r="C10" s="5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1306</v>
      </c>
      <c r="B11" s="5">
        <f>B7</f>
        <v>100000</v>
      </c>
      <c r="C11" s="5" t="s">
        <v>1307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1308</v>
      </c>
      <c r="B12" s="5">
        <f>'Calc Products'!B22</f>
        <v>48</v>
      </c>
      <c r="C12" s="5" t="s">
        <v>1309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1310</v>
      </c>
      <c r="B13" s="5">
        <f>IFERROR(ROUNDUP(B11/B12,0),"")</f>
        <v>2084</v>
      </c>
      <c r="C13" s="5" t="s">
        <v>1311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1312</v>
      </c>
      <c r="B14" s="5">
        <f>'Calc Products'!B23</f>
        <v>60</v>
      </c>
      <c r="C14" s="5" t="s">
        <v>1309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1313</v>
      </c>
      <c r="B15" s="5">
        <f>IFERROR(ROUNDUP(B13/B14,0),"")</f>
        <v>35</v>
      </c>
      <c r="C15" s="5" t="s">
        <v>1311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1217</v>
      </c>
      <c r="B16" s="5">
        <f>'Calc Products'!B24</f>
        <v>20</v>
      </c>
      <c r="C16" s="5" t="s">
        <v>1309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">
        <v>1314</v>
      </c>
      <c r="B17" s="5">
        <f>IFERROR(ROUNDUP(B15/B16,0),"")</f>
        <v>2</v>
      </c>
      <c r="C17" s="5" t="s">
        <v>1311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">
        <v>1315</v>
      </c>
      <c r="B18" s="14">
        <f>IFERROR(B15/(B17*B16),"")</f>
        <v>0.875</v>
      </c>
      <c r="C18" s="5" t="s">
        <v>1316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 t="s">
        <v>1317</v>
      </c>
      <c r="B19" s="5">
        <f>IFERROR(B13*B12,"")</f>
        <v>100032</v>
      </c>
      <c r="C19" s="5" t="s">
        <v>1318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 t="s">
        <v>1319</v>
      </c>
      <c r="B20" s="5">
        <f>IFERROR(B19-B11,"")</f>
        <v>32</v>
      </c>
      <c r="C20" s="5" t="s">
        <v>1320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0" t="s">
        <v>1321</v>
      </c>
      <c r="B22" s="10" t="s">
        <v>1322</v>
      </c>
      <c r="C22" s="10" t="s">
        <v>1323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 t="s">
        <v>67</v>
      </c>
      <c r="B23" s="4" t="s">
        <v>1241</v>
      </c>
      <c r="C23" s="4" t="s">
        <v>1324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3" t="s">
        <v>1325</v>
      </c>
      <c r="B24" s="57"/>
      <c r="C24" s="5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 t="s">
        <v>1326</v>
      </c>
      <c r="B25" s="5">
        <f>'Calc Products'!B85</f>
        <v>3.766842732</v>
      </c>
      <c r="C25" s="5">
        <f>'Calc Products'!C85</f>
        <v>0.05204446936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 t="s">
        <v>1327</v>
      </c>
      <c r="B26" s="5">
        <f>IFERROR(B25*B19,"")</f>
        <v>376804.8122</v>
      </c>
      <c r="C26" s="5">
        <f>IFERROR(C25*B19,"")</f>
        <v>5206.112359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 t="s">
        <v>67</v>
      </c>
      <c r="B27" s="4" t="s">
        <v>1241</v>
      </c>
      <c r="C27" s="4" t="s">
        <v>1324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3" t="s">
        <v>1328</v>
      </c>
      <c r="B28" s="57"/>
      <c r="C28" s="5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 t="s">
        <v>1329</v>
      </c>
      <c r="B29" s="5">
        <f>IFERROR('Input Costs'!$B$58*B17,"")</f>
        <v>70000</v>
      </c>
      <c r="C29" s="5">
        <f>IFERROR(B29/'Input Costs'!$B$6,"")</f>
        <v>764.2755759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 t="s">
        <v>1330</v>
      </c>
      <c r="B30" s="5">
        <f>IFERROR('Input Costs'!$B$59*B17,"")</f>
        <v>50000</v>
      </c>
      <c r="C30" s="5">
        <f>IFERROR(B30/'Input Costs'!$B$6,"")</f>
        <v>545.9111257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 t="s">
        <v>1331</v>
      </c>
      <c r="B31" s="5">
        <f>IFERROR('Input Costs'!$B$60,"")</f>
        <v>15000</v>
      </c>
      <c r="C31" s="5">
        <f>IFERROR(B31/'Input Costs'!$B$6,"")</f>
        <v>163.7733377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 t="s">
        <v>1332</v>
      </c>
      <c r="B32" s="5">
        <f>IFERROR('Input Costs'!$B$61,"")</f>
        <v>10000</v>
      </c>
      <c r="C32" s="5">
        <f>IFERROR(B32/'Input Costs'!$B$6,"")</f>
        <v>109.1822251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 t="s">
        <v>1333</v>
      </c>
      <c r="B33" s="5">
        <f>IFERROR('Input Costs'!$B$62,"")</f>
        <v>5000</v>
      </c>
      <c r="C33" s="5">
        <f>IFERROR(B33/'Input Costs'!$B$6,"")</f>
        <v>54.59111257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 t="s">
        <v>1334</v>
      </c>
      <c r="B34" s="5">
        <f t="shared" ref="B34:C34" si="1">IFERROR(SUM(B29:B33),"")</f>
        <v>150000</v>
      </c>
      <c r="C34" s="5">
        <f t="shared" si="1"/>
        <v>1637.733377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 t="s">
        <v>67</v>
      </c>
      <c r="B35" s="4" t="s">
        <v>1241</v>
      </c>
      <c r="C35" s="4" t="s">
        <v>1324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0" t="s">
        <v>1335</v>
      </c>
      <c r="B36" s="5">
        <f t="shared" ref="B36:C36" si="2">IFERROR(B26+B34,"")</f>
        <v>526804.8122</v>
      </c>
      <c r="C36" s="5">
        <f t="shared" si="2"/>
        <v>6843.845736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 t="s">
        <v>67</v>
      </c>
      <c r="B37" s="4" t="s">
        <v>1241</v>
      </c>
      <c r="C37" s="4" t="s">
        <v>1324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3" t="s">
        <v>1336</v>
      </c>
      <c r="B38" s="57"/>
      <c r="C38" s="5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 t="s">
        <v>1337</v>
      </c>
      <c r="B39" s="5">
        <f>IFERROR(VLOOKUP(B6,'LookUp Value'!$A$37:$B$45,2,FALSE),"")</f>
        <v>3000</v>
      </c>
      <c r="C39" s="5" t="s">
        <v>1338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 t="s">
        <v>1339</v>
      </c>
      <c r="B40" s="5">
        <f>IFERROR(B39*'Input Costs'!$B$6,"")</f>
        <v>274770</v>
      </c>
      <c r="C40" s="5">
        <f>B39</f>
        <v>3000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 t="s">
        <v>1340</v>
      </c>
      <c r="B41" s="5">
        <f>IFERROR(B40*B17,"")</f>
        <v>549540</v>
      </c>
      <c r="C41" s="5">
        <f>IFERROR(C40*B17,"")</f>
        <v>6000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 t="s">
        <v>1341</v>
      </c>
      <c r="B42" s="5">
        <f>IFERROR(B36*'Input Costs'!$B$76,"")</f>
        <v>2107.219249</v>
      </c>
      <c r="C42" s="5">
        <f>IFERROR(C36*'Input Costs'!$B$76,"")</f>
        <v>27.37538294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 t="s">
        <v>1342</v>
      </c>
      <c r="B43" s="5">
        <f t="shared" ref="B43:C43" si="3">IFERROR(B41+B42,"")</f>
        <v>551647.2192</v>
      </c>
      <c r="C43" s="5">
        <f t="shared" si="3"/>
        <v>6027.375383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 t="s">
        <v>67</v>
      </c>
      <c r="B44" s="4" t="s">
        <v>1241</v>
      </c>
      <c r="C44" s="4" t="s">
        <v>1324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0" t="s">
        <v>1343</v>
      </c>
      <c r="B45" s="5">
        <f t="shared" ref="B45:C45" si="4">IFERROR(B36+B43,"")</f>
        <v>1078452.031</v>
      </c>
      <c r="C45" s="5">
        <f t="shared" si="4"/>
        <v>12871.22112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 t="s">
        <v>67</v>
      </c>
      <c r="B46" s="4" t="s">
        <v>1241</v>
      </c>
      <c r="C46" s="4" t="s">
        <v>1324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3" t="s">
        <v>1344</v>
      </c>
      <c r="B47" s="57"/>
      <c r="C47" s="5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 t="s">
        <v>1345</v>
      </c>
      <c r="B48" s="5">
        <v>0.0</v>
      </c>
      <c r="C48" s="5">
        <v>0.0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 t="s">
        <v>1346</v>
      </c>
      <c r="B49" s="5">
        <v>0.0</v>
      </c>
      <c r="C49" s="5">
        <v>0.0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 t="s">
        <v>1347</v>
      </c>
      <c r="B50" s="5">
        <v>0.0</v>
      </c>
      <c r="C50" s="5">
        <v>0.0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 t="s">
        <v>1348</v>
      </c>
      <c r="B51" s="5">
        <f t="shared" ref="B51:C51" si="5">IFERROR(SUM(B48:B50),"")</f>
        <v>0</v>
      </c>
      <c r="C51" s="5">
        <f t="shared" si="5"/>
        <v>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 t="s">
        <v>67</v>
      </c>
      <c r="B52" s="4" t="s">
        <v>1241</v>
      </c>
      <c r="C52" s="4" t="s">
        <v>1324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0" t="s">
        <v>1349</v>
      </c>
      <c r="B53" s="5">
        <f t="shared" ref="B53:C53" si="6">IFERROR(B45+B51,"")</f>
        <v>1078452.031</v>
      </c>
      <c r="C53" s="5">
        <f t="shared" si="6"/>
        <v>12871.22112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3" t="s">
        <v>1350</v>
      </c>
      <c r="B56" s="57"/>
      <c r="C56" s="5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 t="s">
        <v>67</v>
      </c>
      <c r="B58" s="4" t="s">
        <v>1241</v>
      </c>
      <c r="C58" s="4" t="s">
        <v>1324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 t="s">
        <v>1351</v>
      </c>
      <c r="B59" s="58" t="str">
        <f>B8</f>
        <v>FOB</v>
      </c>
      <c r="C59" s="5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" t="s">
        <v>1352</v>
      </c>
      <c r="B60" s="5">
        <f>IF(B8="FOB",B36,IF(B8="CIF",B45,B53))</f>
        <v>526804.8122</v>
      </c>
      <c r="C60" s="5">
        <f>IF(B8="FOB",C36,IF(B8="CIF",C45,C53))</f>
        <v>6843.845736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 t="s">
        <v>67</v>
      </c>
      <c r="B61" s="4" t="s">
        <v>1241</v>
      </c>
      <c r="C61" s="4" t="s">
        <v>1324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0" t="s">
        <v>1353</v>
      </c>
      <c r="B62" s="10" t="s">
        <v>1322</v>
      </c>
      <c r="C62" s="10" t="s">
        <v>1323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" t="s">
        <v>1354</v>
      </c>
      <c r="B63" s="5">
        <f>IFERROR(B60/B19,"")</f>
        <v>5.266362886</v>
      </c>
      <c r="C63" s="5">
        <f>IFERROR(C60/B19,"")</f>
        <v>0.06841656406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" t="s">
        <v>1355</v>
      </c>
      <c r="B64" s="5">
        <f>IFERROR(B63*B12,"")</f>
        <v>252.7854185</v>
      </c>
      <c r="C64" s="5">
        <f>IFERROR(C63*B12,"")</f>
        <v>3.283995075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 t="s">
        <v>1356</v>
      </c>
      <c r="B65" s="5">
        <f>IFERROR(B64*B14,"")</f>
        <v>15167.12511</v>
      </c>
      <c r="C65" s="5">
        <f>IFERROR(C64*B14,"")</f>
        <v>197.0397045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 t="s">
        <v>1357</v>
      </c>
      <c r="B66" s="5">
        <f>IFERROR(B60/B17,"")</f>
        <v>263402.4061</v>
      </c>
      <c r="C66" s="5">
        <f>IFERROR(C60/B17,"")</f>
        <v>3421.922868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 t="s">
        <v>67</v>
      </c>
      <c r="B67" s="4" t="s">
        <v>1241</v>
      </c>
      <c r="C67" s="4" t="s">
        <v>1324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0" t="s">
        <v>1292</v>
      </c>
      <c r="B68" s="10" t="s">
        <v>1239</v>
      </c>
      <c r="C68" s="10" t="s">
        <v>1358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 t="s">
        <v>1293</v>
      </c>
      <c r="B69" s="5">
        <f t="shared" ref="B69:C69" si="7">IFERROR(B63/(1-0.1),"")</f>
        <v>5.851514317</v>
      </c>
      <c r="C69" s="5">
        <f t="shared" si="7"/>
        <v>0.07601840451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 t="s">
        <v>1294</v>
      </c>
      <c r="B70" s="5">
        <f t="shared" ref="B70:C70" si="8">IFERROR(B63/(1-0.15),"")</f>
        <v>6.195721042</v>
      </c>
      <c r="C70" s="5">
        <f t="shared" si="8"/>
        <v>0.08049007536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 t="s">
        <v>1295</v>
      </c>
      <c r="B71" s="5">
        <f t="shared" ref="B71:C71" si="9">IFERROR(B63/(1-0.2),"")</f>
        <v>6.582953607</v>
      </c>
      <c r="C71" s="5">
        <f t="shared" si="9"/>
        <v>0.08552070507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 t="s">
        <v>1296</v>
      </c>
      <c r="B72" s="5">
        <f t="shared" ref="B72:C72" si="10">IFERROR(B63/(1-0.25),"")</f>
        <v>7.021817181</v>
      </c>
      <c r="C72" s="5">
        <f t="shared" si="10"/>
        <v>0.09122208541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 t="s">
        <v>67</v>
      </c>
      <c r="B73" s="4" t="s">
        <v>1241</v>
      </c>
      <c r="C73" s="4" t="s">
        <v>1324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0" t="s">
        <v>1359</v>
      </c>
      <c r="B74" s="10" t="s">
        <v>1360</v>
      </c>
      <c r="C74" s="10" t="s">
        <v>1361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" t="s">
        <v>1293</v>
      </c>
      <c r="B75" s="5">
        <f>IFERROR(B69*B12,"")</f>
        <v>280.8726872</v>
      </c>
      <c r="C75" s="5">
        <f>IFERROR(C69*B12,"")</f>
        <v>3.648883416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" t="s">
        <v>1294</v>
      </c>
      <c r="B76" s="5">
        <f>IFERROR(B70*B12,"")</f>
        <v>297.39461</v>
      </c>
      <c r="C76" s="5">
        <f>IFERROR(C70*B12,"")</f>
        <v>3.863523617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5" t="s">
        <v>1295</v>
      </c>
      <c r="B77" s="5">
        <f>IFERROR(B71*B12,"")</f>
        <v>315.9817731</v>
      </c>
      <c r="C77" s="5">
        <f>IFERROR(C71*B12,"")</f>
        <v>4.104993843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" t="s">
        <v>1296</v>
      </c>
      <c r="B78" s="5">
        <f>IFERROR(B72*B12,"")</f>
        <v>337.0472247</v>
      </c>
      <c r="C78" s="5">
        <f>IFERROR(C72*B12,"")</f>
        <v>4.3786601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 t="s">
        <v>67</v>
      </c>
      <c r="B79" s="4" t="s">
        <v>1241</v>
      </c>
      <c r="C79" s="4" t="s">
        <v>1324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0" t="s">
        <v>1362</v>
      </c>
      <c r="B80" s="10" t="s">
        <v>1363</v>
      </c>
      <c r="C80" s="10" t="s">
        <v>1364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" t="s">
        <v>1293</v>
      </c>
      <c r="B81" s="5">
        <f>IFERROR(B75*B14,"")</f>
        <v>16852.36123</v>
      </c>
      <c r="C81" s="5">
        <f>IFERROR(C75*B14,"")</f>
        <v>218.933005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" t="s">
        <v>1294</v>
      </c>
      <c r="B82" s="5">
        <f>IFERROR(B76*B14,"")</f>
        <v>17843.6766</v>
      </c>
      <c r="C82" s="5">
        <f>IFERROR(C76*B14,"")</f>
        <v>231.811417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5" t="s">
        <v>1295</v>
      </c>
      <c r="B83" s="5">
        <f>IFERROR(B77*B14,"")</f>
        <v>18958.90639</v>
      </c>
      <c r="C83" s="5">
        <f>IFERROR(C77*B14,"")</f>
        <v>246.2996306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5" t="s">
        <v>1296</v>
      </c>
      <c r="B84" s="5">
        <f>IFERROR(B78*B14,"")</f>
        <v>20222.83348</v>
      </c>
      <c r="C84" s="5">
        <f>IFERROR(C78*B14,"")</f>
        <v>262.719606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 t="s">
        <v>67</v>
      </c>
      <c r="B85" s="4" t="s">
        <v>1241</v>
      </c>
      <c r="C85" s="4" t="s">
        <v>1324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10" t="s">
        <v>1365</v>
      </c>
      <c r="B86" s="10" t="s">
        <v>1366</v>
      </c>
      <c r="C86" s="10" t="s">
        <v>1367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5" t="s">
        <v>1293</v>
      </c>
      <c r="B87" s="5">
        <f>IFERROR(B69*B12*B14*B16,"")</f>
        <v>337047.2247</v>
      </c>
      <c r="C87" s="5">
        <f>IFERROR(C69*B12*B14*B16,"")</f>
        <v>4378.6601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5" t="s">
        <v>1294</v>
      </c>
      <c r="B88" s="5">
        <f>IFERROR(B70*B12*B14*B16,"")</f>
        <v>356873.532</v>
      </c>
      <c r="C88" s="5">
        <f>IFERROR(C70*B12*B14*B16,"")</f>
        <v>4636.228341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" t="s">
        <v>1295</v>
      </c>
      <c r="B89" s="5">
        <f>IFERROR(B71*B12*B14*B16,"")</f>
        <v>379178.1278</v>
      </c>
      <c r="C89" s="5">
        <f>IFERROR(C71*B12*B14*B16,"")</f>
        <v>4925.992612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" t="s">
        <v>1296</v>
      </c>
      <c r="B90" s="5">
        <f>IFERROR(B72*B12*B14*B16,"")</f>
        <v>404456.6696</v>
      </c>
      <c r="C90" s="5">
        <f>IFERROR(C72*B12*B14*B16,"")</f>
        <v>5254.39212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3" t="s">
        <v>1368</v>
      </c>
      <c r="B92" s="57"/>
      <c r="C92" s="5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5" t="s">
        <v>1369</v>
      </c>
      <c r="B93" s="5">
        <f>IFERROR(VLOOKUP(B6,'LookUp Value'!$A$37:$C$45,3,FALSE),"")</f>
        <v>24</v>
      </c>
      <c r="C93" s="5" t="s">
        <v>1370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5" t="s">
        <v>1371</v>
      </c>
      <c r="B94" s="6">
        <f>TODAY()+7</f>
        <v>46069</v>
      </c>
      <c r="C94" s="5" t="s">
        <v>1372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5" t="s">
        <v>1373</v>
      </c>
      <c r="B95" s="5">
        <f>IFERROR(B94+B93,"")</f>
        <v>46093</v>
      </c>
      <c r="C95" s="5" t="s">
        <v>1374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 t="s">
        <v>67</v>
      </c>
      <c r="B96" s="4" t="s">
        <v>1241</v>
      </c>
      <c r="C96" s="4" t="s">
        <v>1242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53" t="s">
        <v>1375</v>
      </c>
      <c r="B97" s="57"/>
      <c r="C97" s="5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5" t="s">
        <v>1376</v>
      </c>
      <c r="B98" s="5">
        <f>'Calc Products'!$B$40</f>
        <v>89.7836</v>
      </c>
      <c r="C98" s="5" t="s">
        <v>1309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5" t="s">
        <v>1377</v>
      </c>
      <c r="B99" s="5">
        <f>IFERROR((B98*B19)/1000,"")</f>
        <v>8981.233075</v>
      </c>
      <c r="C99" s="5" t="s">
        <v>1378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5" t="s">
        <v>1379</v>
      </c>
      <c r="B100" s="5">
        <f>IFERROR(B99/1000,"")</f>
        <v>8.981233075</v>
      </c>
      <c r="C100" s="5" t="s">
        <v>1380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5" t="s">
        <v>1381</v>
      </c>
      <c r="B101" s="5">
        <f>IFERROR(B100/B17,"")</f>
        <v>4.490616538</v>
      </c>
      <c r="C101" s="5" t="s">
        <v>1382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 t="s">
        <v>67</v>
      </c>
      <c r="B102" s="4" t="s">
        <v>1241</v>
      </c>
      <c r="C102" s="4" t="s">
        <v>1242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53" t="s">
        <v>1383</v>
      </c>
      <c r="B103" s="57"/>
      <c r="C103" s="5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5" t="s">
        <v>1384</v>
      </c>
      <c r="B104" s="5">
        <f>IFERROR(B26/B60,"")</f>
        <v>0.71526456</v>
      </c>
      <c r="C104" s="5" t="s">
        <v>1316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5" t="s">
        <v>1385</v>
      </c>
      <c r="B105" s="5">
        <f>IFERROR(B34/B60,"")</f>
        <v>0.28473544</v>
      </c>
      <c r="C105" s="5" t="s">
        <v>1316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5" t="s">
        <v>1386</v>
      </c>
      <c r="B106" s="5">
        <f>IFERROR(B43/B60,"")</f>
        <v>1.047156758</v>
      </c>
      <c r="C106" s="5" t="s">
        <v>1316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5" t="s">
        <v>1387</v>
      </c>
      <c r="B107" s="5">
        <f>IFERROR(B41/B100,"")</f>
        <v>61187.58921</v>
      </c>
      <c r="C107" s="5" t="s">
        <v>1388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5" t="s">
        <v>1389</v>
      </c>
      <c r="B108" s="5">
        <f>IFERROR(B107/'Input Costs'!$B$6,"")</f>
        <v>668.059714</v>
      </c>
      <c r="C108" s="5" t="s">
        <v>1390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A92:C92"/>
    <mergeCell ref="A97:C97"/>
    <mergeCell ref="A103:C103"/>
    <mergeCell ref="A3:B3"/>
    <mergeCell ref="A10:C10"/>
    <mergeCell ref="A1:C1"/>
    <mergeCell ref="A24:C24"/>
    <mergeCell ref="A28:C28"/>
    <mergeCell ref="A38:C38"/>
    <mergeCell ref="A47:C47"/>
    <mergeCell ref="A56:C56"/>
    <mergeCell ref="B59:C59"/>
  </mergeCells>
  <dataValidations>
    <dataValidation type="list" allowBlank="1" showErrorMessage="1" sqref="B8">
      <formula1>"FOB,CIF,DAP"</formula1>
    </dataValidation>
    <dataValidation type="list" allowBlank="1" showErrorMessage="1" sqref="B6">
      <formula1>'LookUp Value'!$A$37:$A$45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25.13"/>
    <col customWidth="1" min="4" max="4" width="25.75"/>
    <col customWidth="1" min="5" max="26" width="25.13"/>
  </cols>
  <sheetData>
    <row r="1" ht="14.25" customHeight="1">
      <c r="A1" s="59" t="s">
        <v>1391</v>
      </c>
      <c r="B1" s="2"/>
      <c r="C1" s="2"/>
      <c r="D1" s="3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60" t="s">
        <v>1392</v>
      </c>
      <c r="B2" s="61" t="s">
        <v>1393</v>
      </c>
      <c r="C2" s="61" t="s">
        <v>1394</v>
      </c>
      <c r="D2" s="62" t="s">
        <v>1394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4.25" customHeight="1">
      <c r="A3" s="63" t="s">
        <v>1395</v>
      </c>
      <c r="B3" s="4" t="s">
        <v>1393</v>
      </c>
      <c r="C3" s="4" t="s">
        <v>1394</v>
      </c>
      <c r="D3" s="64" t="s">
        <v>1394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63" t="s">
        <v>1396</v>
      </c>
      <c r="B4" s="4" t="s">
        <v>1393</v>
      </c>
      <c r="C4" s="4" t="s">
        <v>1394</v>
      </c>
      <c r="D4" s="64" t="s">
        <v>1394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63" t="s">
        <v>1397</v>
      </c>
      <c r="B5" s="4" t="s">
        <v>1393</v>
      </c>
      <c r="C5" s="4" t="s">
        <v>1394</v>
      </c>
      <c r="D5" s="64" t="s">
        <v>1394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65" t="s">
        <v>1398</v>
      </c>
      <c r="B6" s="66" t="s">
        <v>1393</v>
      </c>
      <c r="C6" s="66" t="s">
        <v>1394</v>
      </c>
      <c r="D6" s="67" t="s">
        <v>1394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59" t="s">
        <v>1399</v>
      </c>
      <c r="B7" s="2"/>
      <c r="C7" s="2"/>
      <c r="D7" s="3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60" t="s">
        <v>1400</v>
      </c>
      <c r="B8" s="68">
        <f>TODAY()</f>
        <v>46062</v>
      </c>
      <c r="C8" s="61" t="s">
        <v>1394</v>
      </c>
      <c r="D8" s="62" t="s">
        <v>1394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63" t="s">
        <v>1401</v>
      </c>
      <c r="B9" s="35">
        <f>B8+30</f>
        <v>46092</v>
      </c>
      <c r="C9" s="4" t="s">
        <v>1394</v>
      </c>
      <c r="D9" s="64" t="s">
        <v>1394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65" t="s">
        <v>1402</v>
      </c>
      <c r="B10" s="66" t="str">
        <f>"Q-"&amp;TEXT(B8,"YYMMDD")&amp;"-"&amp;LEFT('Calc Export'!$B$4,10)</f>
        <v>Q-260209- TT-2P-200</v>
      </c>
      <c r="C10" s="66" t="s">
        <v>1394</v>
      </c>
      <c r="D10" s="67" t="s">
        <v>1394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59" t="s">
        <v>1403</v>
      </c>
      <c r="B11" s="2"/>
      <c r="C11" s="2"/>
      <c r="D11" s="3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60" t="s">
        <v>1404</v>
      </c>
      <c r="B12" s="61" t="s">
        <v>1405</v>
      </c>
      <c r="C12" s="61" t="s">
        <v>1394</v>
      </c>
      <c r="D12" s="62" t="s">
        <v>1394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63" t="s">
        <v>1406</v>
      </c>
      <c r="B13" s="4" t="s">
        <v>1407</v>
      </c>
      <c r="C13" s="4" t="s">
        <v>1394</v>
      </c>
      <c r="D13" s="64" t="s">
        <v>1394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63" t="s">
        <v>1408</v>
      </c>
      <c r="B14" s="4" t="s">
        <v>1409</v>
      </c>
      <c r="C14" s="4" t="s">
        <v>1394</v>
      </c>
      <c r="D14" s="64" t="s">
        <v>1394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63" t="s">
        <v>1410</v>
      </c>
      <c r="B15" s="4" t="s">
        <v>1411</v>
      </c>
      <c r="C15" s="4" t="s">
        <v>1394</v>
      </c>
      <c r="D15" s="64" t="s">
        <v>1394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65" t="s">
        <v>1412</v>
      </c>
      <c r="B16" s="66" t="str">
        <f>'Calc Export'!$B$6</f>
        <v> Canada - Vancouver </v>
      </c>
      <c r="C16" s="66" t="s">
        <v>1394</v>
      </c>
      <c r="D16" s="67" t="s">
        <v>1394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59" t="s">
        <v>1413</v>
      </c>
      <c r="B17" s="2"/>
      <c r="C17" s="2"/>
      <c r="D17" s="3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60" t="s">
        <v>1414</v>
      </c>
      <c r="B18" s="61" t="str">
        <f>'Calc Products'!$B$3</f>
        <v> TT-2P-200-R  </v>
      </c>
      <c r="C18" s="61" t="s">
        <v>1394</v>
      </c>
      <c r="D18" s="62" t="s">
        <v>1394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63" t="s">
        <v>1415</v>
      </c>
      <c r="B19" s="4" t="str">
        <f>'Calc Products'!$B$6</f>
        <v> Toilet Roll 2P 200Sht Recy  </v>
      </c>
      <c r="C19" s="4" t="s">
        <v>1394</v>
      </c>
      <c r="D19" s="64" t="s">
        <v>1394</v>
      </c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63" t="s">
        <v>1416</v>
      </c>
      <c r="B20" s="4">
        <f>'Calc Products'!$B$8</f>
        <v>2</v>
      </c>
      <c r="C20" s="4" t="s">
        <v>1394</v>
      </c>
      <c r="D20" s="64" t="s">
        <v>1394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63" t="s">
        <v>1417</v>
      </c>
      <c r="B21" s="4">
        <f>'Calc Products'!B10</f>
        <v>34</v>
      </c>
      <c r="C21" s="4" t="s">
        <v>1394</v>
      </c>
      <c r="D21" s="64" t="s">
        <v>1394</v>
      </c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63" t="s">
        <v>1418</v>
      </c>
      <c r="B22" s="4" t="str">
        <f>B20&amp;"-Ply, "&amp;B21&amp;" GSM Total"</f>
        <v>2-Ply, 34 GSM Total</v>
      </c>
      <c r="C22" s="4" t="s">
        <v>1394</v>
      </c>
      <c r="D22" s="64" t="s">
        <v>1394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63" t="s">
        <v>1419</v>
      </c>
      <c r="B23" s="4" t="str">
        <f>'Calc Products'!$B$18</f>
        <v>White</v>
      </c>
      <c r="C23" s="4" t="s">
        <v>1394</v>
      </c>
      <c r="D23" s="64" t="s">
        <v>1394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63" t="s">
        <v>1420</v>
      </c>
      <c r="B24" s="4">
        <f>'Calc Products'!B14</f>
        <v>200</v>
      </c>
      <c r="C24" s="4" t="s">
        <v>1394</v>
      </c>
      <c r="D24" s="64" t="s">
        <v>1394</v>
      </c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63" t="s">
        <v>1421</v>
      </c>
      <c r="B25" s="4" t="str">
        <f>'Calc Products'!B19</f>
        <v>Light</v>
      </c>
      <c r="C25" s="4" t="s">
        <v>1394</v>
      </c>
      <c r="D25" s="64" t="s">
        <v>1394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65" t="s">
        <v>1422</v>
      </c>
      <c r="B26" s="66" t="str">
        <f>'Calc Products'!B26</f>
        <v>None</v>
      </c>
      <c r="C26" s="66" t="s">
        <v>1394</v>
      </c>
      <c r="D26" s="67" t="s">
        <v>1394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59" t="s">
        <v>1423</v>
      </c>
      <c r="B27" s="2"/>
      <c r="C27" s="2"/>
      <c r="D27" s="3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60" t="s">
        <v>1424</v>
      </c>
      <c r="B28" s="61">
        <f>'Calc Products'!$B$22</f>
        <v>48</v>
      </c>
      <c r="C28" s="61" t="s">
        <v>1394</v>
      </c>
      <c r="D28" s="62" t="s">
        <v>1394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63" t="s">
        <v>1425</v>
      </c>
      <c r="B29" s="4">
        <f>'Calc Products'!$B$23</f>
        <v>60</v>
      </c>
      <c r="C29" s="4" t="s">
        <v>1394</v>
      </c>
      <c r="D29" s="64" t="s">
        <v>1394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63" t="s">
        <v>1426</v>
      </c>
      <c r="B30" s="4">
        <f>'Calc Products'!$B$24</f>
        <v>20</v>
      </c>
      <c r="C30" s="4" t="s">
        <v>1394</v>
      </c>
      <c r="D30" s="64" t="s">
        <v>1394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63" t="s">
        <v>1427</v>
      </c>
      <c r="B31" s="4">
        <f>B28*B29</f>
        <v>2880</v>
      </c>
      <c r="C31" s="4" t="s">
        <v>1394</v>
      </c>
      <c r="D31" s="64" t="s">
        <v>1394</v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65" t="s">
        <v>1428</v>
      </c>
      <c r="B32" s="66">
        <f>B31*B30</f>
        <v>57600</v>
      </c>
      <c r="C32" s="66" t="s">
        <v>1394</v>
      </c>
      <c r="D32" s="67" t="s">
        <v>1394</v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59" t="s">
        <v>1429</v>
      </c>
      <c r="B33" s="2"/>
      <c r="C33" s="2"/>
      <c r="D33" s="3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60" t="s">
        <v>1430</v>
      </c>
      <c r="B34" s="61">
        <f>'Calc Export'!$B$7</f>
        <v>100000</v>
      </c>
      <c r="C34" s="61" t="s">
        <v>1394</v>
      </c>
      <c r="D34" s="62" t="s">
        <v>1394</v>
      </c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63" t="s">
        <v>1431</v>
      </c>
      <c r="B35" s="4">
        <f>'Calc Export'!$B$19</f>
        <v>100032</v>
      </c>
      <c r="C35" s="4" t="s">
        <v>1394</v>
      </c>
      <c r="D35" s="64" t="s">
        <v>1394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63" t="s">
        <v>1432</v>
      </c>
      <c r="B36" s="4">
        <f>'Calc Export'!$B$13</f>
        <v>2084</v>
      </c>
      <c r="C36" s="4" t="s">
        <v>1394</v>
      </c>
      <c r="D36" s="64" t="s">
        <v>1394</v>
      </c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63" t="s">
        <v>1433</v>
      </c>
      <c r="B37" s="4">
        <f>'Calc Export'!$B$15</f>
        <v>35</v>
      </c>
      <c r="C37" s="4" t="s">
        <v>1394</v>
      </c>
      <c r="D37" s="64" t="s">
        <v>1394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63" t="s">
        <v>1434</v>
      </c>
      <c r="B38" s="4">
        <f>'Calc Export'!$B$17</f>
        <v>2</v>
      </c>
      <c r="C38" s="4" t="s">
        <v>1394</v>
      </c>
      <c r="D38" s="64" t="s">
        <v>1394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65" t="s">
        <v>1435</v>
      </c>
      <c r="B39" s="69">
        <f>'Calc Export'!$B$18</f>
        <v>0.875</v>
      </c>
      <c r="C39" s="66" t="s">
        <v>1436</v>
      </c>
      <c r="D39" s="67" t="s">
        <v>1394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59" t="s">
        <v>1437</v>
      </c>
      <c r="B40" s="2"/>
      <c r="C40" s="2"/>
      <c r="D40" s="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60" t="s">
        <v>1438</v>
      </c>
      <c r="B41" s="61" t="str">
        <f>'Calc Export'!$B$8</f>
        <v>FOB</v>
      </c>
      <c r="C41" s="61" t="s">
        <v>1394</v>
      </c>
      <c r="D41" s="62" t="s">
        <v>1394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65" t="s">
        <v>1412</v>
      </c>
      <c r="B42" s="66" t="str">
        <f>'Calc Export'!$B$6</f>
        <v> Canada - Vancouver </v>
      </c>
      <c r="C42" s="66" t="s">
        <v>1394</v>
      </c>
      <c r="D42" s="67" t="s">
        <v>1394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60" t="s">
        <v>1439</v>
      </c>
      <c r="B43" s="61" t="s">
        <v>1440</v>
      </c>
      <c r="C43" s="61" t="s">
        <v>1441</v>
      </c>
      <c r="D43" s="62" t="s">
        <v>1442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63" t="s">
        <v>1443</v>
      </c>
      <c r="B44" s="4">
        <f>'Calc Export'!$C$63</f>
        <v>0.06841656406</v>
      </c>
      <c r="C44" s="4">
        <f>'Calc Export'!$C$64</f>
        <v>3.283995075</v>
      </c>
      <c r="D44" s="64">
        <f>'Calc Export'!$C$65</f>
        <v>197.0397045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63" t="s">
        <v>1444</v>
      </c>
      <c r="B45" s="4" t="s">
        <v>1393</v>
      </c>
      <c r="C45" s="4" t="s">
        <v>1394</v>
      </c>
      <c r="D45" s="64" t="s">
        <v>1394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63" t="s">
        <v>1445</v>
      </c>
      <c r="B46" s="4">
        <f>'Calc Export'!$C$70</f>
        <v>0.08049007536</v>
      </c>
      <c r="C46" s="4">
        <f>'Calc Export'!$C$76</f>
        <v>3.863523617</v>
      </c>
      <c r="D46" s="64">
        <f>IFERROR(C46*B29,"")</f>
        <v>231.811417</v>
      </c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63" t="s">
        <v>1446</v>
      </c>
      <c r="B47" s="4">
        <f>'Calc Export'!$C$71</f>
        <v>0.08552070507</v>
      </c>
      <c r="C47" s="4">
        <f>'Calc Export'!$C$77</f>
        <v>4.104993843</v>
      </c>
      <c r="D47" s="64">
        <f>IFERROR(C47*B29,"")</f>
        <v>246.2996306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63" t="s">
        <v>1447</v>
      </c>
      <c r="B48" s="4">
        <f>'Calc Export'!$C$72</f>
        <v>0.09122208541</v>
      </c>
      <c r="C48" s="4">
        <f>'Calc Export'!$C$78</f>
        <v>4.3786601</v>
      </c>
      <c r="D48" s="64">
        <f>IFERROR(C48*B29,"")</f>
        <v>262.719606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65" t="s">
        <v>1448</v>
      </c>
      <c r="B49" s="66">
        <f t="shared" ref="B49:D49" si="1">B47</f>
        <v>0.08552070507</v>
      </c>
      <c r="C49" s="66">
        <f t="shared" si="1"/>
        <v>4.104993843</v>
      </c>
      <c r="D49" s="67">
        <f t="shared" si="1"/>
        <v>246.2996306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59" t="s">
        <v>1449</v>
      </c>
      <c r="B50" s="2"/>
      <c r="C50" s="2"/>
      <c r="D50" s="3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customHeight="1">
      <c r="A51" s="60" t="s">
        <v>1439</v>
      </c>
      <c r="B51" s="61" t="s">
        <v>1450</v>
      </c>
      <c r="C51" s="61" t="s">
        <v>1451</v>
      </c>
      <c r="D51" s="62" t="s">
        <v>1394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4.25" customHeight="1">
      <c r="A52" s="63" t="s">
        <v>1452</v>
      </c>
      <c r="B52" s="4">
        <f>IFERROR(B49*B35,"")</f>
        <v>8554.80717</v>
      </c>
      <c r="C52" s="4">
        <f>IFERROR(B52*'Input Costs'!$B$6,"")</f>
        <v>783534.7887</v>
      </c>
      <c r="D52" s="64" t="s">
        <v>1453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4.25" customHeight="1">
      <c r="A53" s="63" t="s">
        <v>1454</v>
      </c>
      <c r="B53" s="4">
        <f>IFERROR(B52/B38,"")</f>
        <v>4277.403585</v>
      </c>
      <c r="C53" s="4">
        <f>IFERROR(C52/B38,"")</f>
        <v>391767.3943</v>
      </c>
      <c r="D53" s="64" t="s">
        <v>1394</v>
      </c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4.25" customHeight="1">
      <c r="A54" s="63" t="s">
        <v>1455</v>
      </c>
      <c r="B54" s="4" t="s">
        <v>1393</v>
      </c>
      <c r="C54" s="4" t="s">
        <v>1394</v>
      </c>
      <c r="D54" s="64" t="s">
        <v>1394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63" t="s">
        <v>1456</v>
      </c>
      <c r="B55" s="4" t="str">
        <f>IFERROR(VLOOKUP(B42,'LookUp Value'!$A$37:$C$45,3,FALSE),"")&amp;" days"</f>
        <v>24 days</v>
      </c>
      <c r="C55" s="4" t="s">
        <v>1394</v>
      </c>
      <c r="D55" s="64" t="s">
        <v>1394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65" t="s">
        <v>1457</v>
      </c>
      <c r="B56" s="66">
        <f>IFERROR('Calc Export'!$B$100,"")</f>
        <v>8.981233075</v>
      </c>
      <c r="C56" s="66" t="s">
        <v>1394</v>
      </c>
      <c r="D56" s="67" t="s">
        <v>1394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59" t="s">
        <v>1458</v>
      </c>
      <c r="B57" s="2"/>
      <c r="C57" s="2"/>
      <c r="D57" s="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60" t="s">
        <v>1459</v>
      </c>
      <c r="B58" s="61" t="s">
        <v>1460</v>
      </c>
      <c r="C58" s="61" t="s">
        <v>1394</v>
      </c>
      <c r="D58" s="62" t="s">
        <v>1394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63" t="s">
        <v>1461</v>
      </c>
      <c r="B59" s="4" t="s">
        <v>1462</v>
      </c>
      <c r="C59" s="4" t="s">
        <v>1394</v>
      </c>
      <c r="D59" s="64" t="s">
        <v>1394</v>
      </c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63" t="s">
        <v>1463</v>
      </c>
      <c r="B60" s="4" t="s">
        <v>1464</v>
      </c>
      <c r="C60" s="4" t="s">
        <v>1394</v>
      </c>
      <c r="D60" s="64" t="s">
        <v>1394</v>
      </c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65" t="s">
        <v>1465</v>
      </c>
      <c r="B61" s="66" t="s">
        <v>1466</v>
      </c>
      <c r="C61" s="66" t="s">
        <v>1394</v>
      </c>
      <c r="D61" s="67" t="s">
        <v>1394</v>
      </c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59" t="s">
        <v>1467</v>
      </c>
      <c r="B62" s="2"/>
      <c r="C62" s="2"/>
      <c r="D62" s="3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60">
        <v>1.0</v>
      </c>
      <c r="B63" s="61" t="s">
        <v>1468</v>
      </c>
      <c r="C63" s="61" t="s">
        <v>1394</v>
      </c>
      <c r="D63" s="62" t="s">
        <v>1394</v>
      </c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63">
        <v>2.0</v>
      </c>
      <c r="B64" s="4" t="s">
        <v>1469</v>
      </c>
      <c r="C64" s="4" t="s">
        <v>1394</v>
      </c>
      <c r="D64" s="64" t="s">
        <v>1394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63">
        <v>3.0</v>
      </c>
      <c r="B65" s="4" t="s">
        <v>1470</v>
      </c>
      <c r="C65" s="4" t="s">
        <v>1394</v>
      </c>
      <c r="D65" s="64" t="s">
        <v>1394</v>
      </c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63">
        <v>4.0</v>
      </c>
      <c r="B66" s="4" t="s">
        <v>1471</v>
      </c>
      <c r="C66" s="4" t="s">
        <v>1394</v>
      </c>
      <c r="D66" s="64" t="s">
        <v>1394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63" t="s">
        <v>1472</v>
      </c>
      <c r="B67" s="4" t="s">
        <v>1393</v>
      </c>
      <c r="C67" s="4" t="s">
        <v>1394</v>
      </c>
      <c r="D67" s="64" t="s">
        <v>1394</v>
      </c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65" t="s">
        <v>1473</v>
      </c>
      <c r="B68" s="66" t="s">
        <v>1474</v>
      </c>
      <c r="C68" s="4" t="s">
        <v>1475</v>
      </c>
      <c r="D68" s="64" t="s">
        <v>1394</v>
      </c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D72" s="70"/>
      <c r="E72" s="71"/>
      <c r="F72" s="71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D73" s="71"/>
      <c r="E73" s="71"/>
      <c r="F73" s="71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D74" s="70"/>
      <c r="E74" s="70"/>
      <c r="F74" s="70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D75" s="72"/>
      <c r="E75" s="72"/>
      <c r="F75" s="72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D76" s="72"/>
      <c r="E76" s="72"/>
      <c r="F76" s="7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D77" s="72"/>
      <c r="E77" s="72"/>
      <c r="F77" s="7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D78" s="72"/>
      <c r="E78" s="72"/>
      <c r="F78" s="72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D79" s="72"/>
      <c r="E79" s="72"/>
      <c r="F79" s="72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D80" s="71"/>
      <c r="E80" s="71"/>
      <c r="F80" s="71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D81" s="70"/>
      <c r="E81" s="70"/>
      <c r="F81" s="70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D82" s="72"/>
      <c r="E82" s="72"/>
      <c r="F82" s="72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D83" s="72"/>
      <c r="E83" s="72"/>
      <c r="F83" s="72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D84" s="72"/>
      <c r="E84" s="72"/>
      <c r="F84" s="72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D85" s="72"/>
      <c r="E85" s="72"/>
      <c r="F85" s="72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4.2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4.2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4.2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4.2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4.2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4.2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4.2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4.2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4.2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4.2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4.2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4.2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4.2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4.2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4.2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4.2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4.2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4.2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4.2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4.2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4.2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4.2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4.2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4.2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4.2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4.2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4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4.2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4.2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4.2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4.2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4.2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4.2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4.2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4.2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4.2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4.2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4.2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4.2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4.2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4.2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4.2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4.2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4.2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4.2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4.2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4.2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4.2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4.2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4.2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4.2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4.2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4.2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4.2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4.2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4.2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4.2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4.2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4.2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4.2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4.2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4.2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4.2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4.2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4.2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4.2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4.2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4.2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4.2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4.2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4.2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4.2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4.2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4.2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4.2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4.2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4.2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4.2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4.2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4.2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4.2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4.2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4.2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4.2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4.2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4.2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4.2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4.2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4.2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4.2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4.2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4.2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4.2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4.2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4.2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4.2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4.2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4.2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4.2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4.2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4.2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4.2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4.2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4.2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4.2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4.2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4.2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4.2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4.2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4.2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4.2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4.2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4.2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4.2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4.2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4.2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4.2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4.2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4.2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4.2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4.2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4.2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4.2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4.2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4.2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4.2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4.2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4.2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4.2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4.2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4.2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4.2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4.2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4.2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4.2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4.2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4.2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4.2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4.2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4.2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4.2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4.2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4.2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4.2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4.2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4.2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4.2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4.2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4.2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4.2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4.2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4.2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4.2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4.2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4.2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4.2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4.2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4.2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4.2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4.2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4.2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4.2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4.2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4.2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4.2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4.2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4.2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4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4.2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4.2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4.2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4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4.2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4.2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4.2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4.2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4.2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4.2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4.2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4.2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4.2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4.2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4.2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4.2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4.2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4.2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4.2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4.2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4.2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4.2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4.2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4.2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4.2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4.2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4.2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4.2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4.2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4.2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4.2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4.2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4.2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4.2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4.2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4.2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4.2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4.2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4.2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4.2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4.2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4.2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4.2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4.2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4.2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4.2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4.2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4.2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4.2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4.2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4.2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4.2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4.2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4.2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4.2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4.2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4.2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4.2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4.2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4.2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4.2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4.2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4.2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4.2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4.2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4.2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4.2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4.2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4.2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4.2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4.2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4.2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4.2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4.2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4.2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4.2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4.2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4.2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4.2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4.2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4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4.2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4.2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4.2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4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4.2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4.2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4.2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4.2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4.2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4.2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4.2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4.2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4.2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4.2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4.2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4.2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4.2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4.2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4.2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4.2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4.2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4.2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4.2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4.2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4.2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4.2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4.2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4.2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4.2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4.2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4.2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4.2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4.2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4.2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4.2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4.2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4.2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4.2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4.2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4.2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4.2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4.2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4.2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4.2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4.2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4.2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4.2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4.2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4.2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4.2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4.2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4.2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4.2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4.2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4.2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4.2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4.2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4.2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4.2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4.2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4.2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4.2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4.2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4.2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4.2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4.2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4.2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4.2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4.2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4.2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4.2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4.2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4.2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4.2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4.2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4.2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4.2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4.2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4.2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4.2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4.2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4.2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4.2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4.2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4.2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4.2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4.2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4.2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4.2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4.2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4.2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4.2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4.2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4.2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4.2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4.2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4.2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4.2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4.2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4.2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4.2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4.2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4.2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4.2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4.2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4.2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4.2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4.2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4.2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4.2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4.2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4.2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4.2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4.2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4.2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4.2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4.2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4.2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4.2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4.2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4.2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4.2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4.2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4.2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4.2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4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4.2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4.2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4.2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4.2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4.2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4.2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4.2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4.2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4.2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4.2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4.2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4.2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4.2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4.2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4.2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4.2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4.2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4.2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4.2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4.2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4.2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4.2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4.2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4.2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4.2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4.2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4.2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4.2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4.2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4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4.2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4.2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4.2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4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4.2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4.2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4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4.2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4.2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4.2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4.2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4.2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4.2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4.2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4.2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4.2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4.2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4.2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4.2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4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4.2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4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4.2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4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4.2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4.2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4.2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4.2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4.2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4.2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4.2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4.2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4.2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4.2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4.2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4.2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4.2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4.2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4.2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4.2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4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4.2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4.2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4.2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4.2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4.2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4.2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4.2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4.2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4.2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4.2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4.2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4.2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4.2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4.2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4.2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4.2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4.2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4.2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4.2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4.2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4.2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4.2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4.2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4.2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4.2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4.2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4.2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4.2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4.2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4.2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4.2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4.2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4.2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4.2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4.2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4.2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4.2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4.2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4.2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4.2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4.2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4.2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4.2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4.2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4.2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4.2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4.2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4.2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4.2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4.2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4.2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4.2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4.2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4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4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4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4.2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4.2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4.2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4.2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4.2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10">
    <mergeCell ref="A50:D50"/>
    <mergeCell ref="A57:D57"/>
    <mergeCell ref="A62:D62"/>
    <mergeCell ref="A1:D1"/>
    <mergeCell ref="A7:D7"/>
    <mergeCell ref="A11:D11"/>
    <mergeCell ref="A17:D17"/>
    <mergeCell ref="A27:D27"/>
    <mergeCell ref="A33:D33"/>
    <mergeCell ref="A40:D4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2026-01-24T21:16:53Z</dcterms:created>
  <dc:creator>medha  tripathi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0x010100FC7C64F29A288943A853D33C0678C1E3</vt:lpwstr>
  </property>
</Properties>
</file>